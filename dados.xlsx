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004ppsv\Downloads\"/>
    </mc:Choice>
  </mc:AlternateContent>
  <xr:revisionPtr revIDLastSave="0" documentId="13_ncr:1_{EFD2CD49-31A7-42F0-AF01-D3ED0D2BB5E1}" xr6:coauthVersionLast="47" xr6:coauthVersionMax="47" xr10:uidLastSave="{00000000-0000-0000-0000-000000000000}"/>
  <bookViews>
    <workbookView xWindow="-108" yWindow="-108" windowWidth="23256" windowHeight="12456" xr2:uid="{79564DF6-F3EE-4187-9B62-2720CBE5D5A5}"/>
  </bookViews>
  <sheets>
    <sheet name="Requisições FY26" sheetId="2" r:id="rId1"/>
  </sheets>
  <externalReferences>
    <externalReference r:id="rId2"/>
  </externalReferenc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17" i="2" l="1"/>
  <c r="H218" i="2"/>
  <c r="H219" i="2"/>
  <c r="H220" i="2"/>
  <c r="I217" i="2"/>
  <c r="I218" i="2"/>
  <c r="I219" i="2"/>
  <c r="J217" i="2"/>
  <c r="J218" i="2"/>
  <c r="J219" i="2"/>
  <c r="H216" i="2"/>
  <c r="H36" i="2"/>
  <c r="L36" i="2"/>
  <c r="L202" i="2"/>
  <c r="H202" i="2"/>
  <c r="L198" i="2"/>
  <c r="H198" i="2"/>
  <c r="L196" i="2"/>
  <c r="H196" i="2"/>
  <c r="L195" i="2"/>
  <c r="H195" i="2"/>
  <c r="L194" i="2"/>
  <c r="H194" i="2"/>
  <c r="L192" i="2"/>
  <c r="H192" i="2"/>
  <c r="L191" i="2"/>
  <c r="H191" i="2"/>
  <c r="L189" i="2"/>
  <c r="H189" i="2"/>
  <c r="L188" i="2"/>
  <c r="H188" i="2"/>
  <c r="L187" i="2"/>
  <c r="H187" i="2"/>
  <c r="L186" i="2"/>
  <c r="H186" i="2"/>
  <c r="L185" i="2"/>
  <c r="H185" i="2"/>
  <c r="L184" i="2"/>
  <c r="H184" i="2"/>
  <c r="L183" i="2"/>
  <c r="H183" i="2"/>
  <c r="L182" i="2"/>
  <c r="H182" i="2"/>
  <c r="L181" i="2"/>
  <c r="H181" i="2"/>
  <c r="L180" i="2"/>
  <c r="H180" i="2"/>
  <c r="L179" i="2"/>
  <c r="H179" i="2"/>
  <c r="L178" i="2"/>
  <c r="H178" i="2"/>
  <c r="L177" i="2"/>
  <c r="H177" i="2"/>
  <c r="H176" i="2"/>
  <c r="L175" i="2"/>
  <c r="H175" i="2"/>
  <c r="H174" i="2"/>
  <c r="L173" i="2"/>
  <c r="H173" i="2"/>
  <c r="L171" i="2"/>
  <c r="H171" i="2"/>
  <c r="L170" i="2"/>
  <c r="H170" i="2"/>
  <c r="L169" i="2"/>
  <c r="H169" i="2"/>
  <c r="L168" i="2"/>
  <c r="H168" i="2"/>
  <c r="L167" i="2"/>
  <c r="H167" i="2"/>
  <c r="L166" i="2"/>
  <c r="H166" i="2"/>
  <c r="L165" i="2"/>
  <c r="H165" i="2"/>
  <c r="L164" i="2"/>
  <c r="H164" i="2"/>
  <c r="H163" i="2"/>
  <c r="L162" i="2"/>
  <c r="H162" i="2"/>
  <c r="L161" i="2"/>
  <c r="H161" i="2"/>
  <c r="L159" i="2"/>
  <c r="H159" i="2"/>
  <c r="L158" i="2"/>
  <c r="H158" i="2"/>
  <c r="L157" i="2"/>
  <c r="H157" i="2"/>
  <c r="L156" i="2"/>
  <c r="H156" i="2"/>
  <c r="L155" i="2"/>
  <c r="H155" i="2"/>
  <c r="L154" i="2"/>
  <c r="H154" i="2"/>
  <c r="L153" i="2"/>
  <c r="H153" i="2"/>
  <c r="L152" i="2"/>
  <c r="H152" i="2"/>
  <c r="L151" i="2"/>
  <c r="H151" i="2"/>
  <c r="L150" i="2"/>
  <c r="H150" i="2"/>
  <c r="L149" i="2"/>
  <c r="H149" i="2"/>
  <c r="L148" i="2"/>
  <c r="H148" i="2"/>
  <c r="L147" i="2"/>
  <c r="H147" i="2"/>
  <c r="L144" i="2"/>
  <c r="H144" i="2"/>
  <c r="L143" i="2"/>
  <c r="H143" i="2"/>
  <c r="L142" i="2"/>
  <c r="H142" i="2"/>
  <c r="K142" i="2" s="1"/>
  <c r="L141" i="2"/>
  <c r="H141" i="2"/>
  <c r="L139" i="2"/>
  <c r="H139" i="2"/>
  <c r="L138" i="2"/>
  <c r="H138" i="2"/>
  <c r="L137" i="2"/>
  <c r="H137" i="2"/>
  <c r="L136" i="2"/>
  <c r="H136" i="2"/>
  <c r="L135" i="2"/>
  <c r="H135" i="2"/>
  <c r="L134" i="2"/>
  <c r="H134" i="2"/>
  <c r="L133" i="2"/>
  <c r="H133" i="2"/>
  <c r="L132" i="2"/>
  <c r="H132" i="2"/>
  <c r="L131" i="2"/>
  <c r="H131" i="2"/>
  <c r="L130" i="2"/>
  <c r="H130" i="2"/>
  <c r="L129" i="2"/>
  <c r="H129" i="2"/>
  <c r="L128" i="2"/>
  <c r="H128" i="2"/>
  <c r="L127" i="2"/>
  <c r="H127" i="2"/>
  <c r="L126" i="2"/>
  <c r="H126" i="2"/>
  <c r="L125" i="2"/>
  <c r="H125" i="2"/>
  <c r="L124" i="2"/>
  <c r="H124" i="2"/>
  <c r="L123" i="2"/>
  <c r="H123" i="2"/>
  <c r="L122" i="2"/>
  <c r="H122" i="2"/>
  <c r="L121" i="2"/>
  <c r="H121" i="2"/>
  <c r="L120" i="2"/>
  <c r="H120" i="2"/>
  <c r="L119" i="2"/>
  <c r="H119" i="2"/>
  <c r="L118" i="2"/>
  <c r="H118" i="2"/>
  <c r="L117" i="2"/>
  <c r="H117" i="2"/>
  <c r="L116" i="2"/>
  <c r="H116" i="2"/>
  <c r="L115" i="2"/>
  <c r="H115" i="2"/>
  <c r="L114" i="2"/>
  <c r="H114" i="2"/>
  <c r="L113" i="2"/>
  <c r="H113" i="2"/>
  <c r="L112" i="2"/>
  <c r="H112" i="2"/>
  <c r="L111" i="2"/>
  <c r="H111" i="2"/>
  <c r="L110" i="2"/>
  <c r="H110" i="2"/>
  <c r="L109" i="2"/>
  <c r="H109" i="2"/>
  <c r="L108" i="2"/>
  <c r="H108" i="2"/>
  <c r="L107" i="2"/>
  <c r="H107" i="2"/>
  <c r="L106" i="2"/>
  <c r="H106" i="2"/>
  <c r="L105" i="2"/>
  <c r="H105" i="2"/>
  <c r="L104" i="2"/>
  <c r="H104" i="2"/>
  <c r="L103" i="2"/>
  <c r="H103" i="2"/>
  <c r="L102" i="2"/>
  <c r="H102" i="2"/>
  <c r="L101" i="2"/>
  <c r="H101" i="2"/>
  <c r="L100" i="2"/>
  <c r="H100" i="2"/>
  <c r="L98" i="2"/>
  <c r="H98" i="2"/>
  <c r="L97" i="2"/>
  <c r="H97" i="2"/>
  <c r="L96" i="2"/>
  <c r="H96" i="2"/>
  <c r="L95" i="2"/>
  <c r="H95" i="2"/>
  <c r="L93" i="2"/>
  <c r="H93" i="2"/>
  <c r="L92" i="2"/>
  <c r="H92" i="2"/>
  <c r="L91" i="2"/>
  <c r="H91" i="2"/>
  <c r="L90" i="2"/>
  <c r="H90" i="2"/>
  <c r="L89" i="2"/>
  <c r="H89" i="2"/>
  <c r="L88" i="2"/>
  <c r="H88" i="2"/>
  <c r="L87" i="2"/>
  <c r="H87" i="2"/>
  <c r="L86" i="2"/>
  <c r="H86" i="2"/>
  <c r="L85" i="2"/>
  <c r="H85" i="2"/>
  <c r="L84" i="2"/>
  <c r="H84" i="2"/>
  <c r="L83" i="2"/>
  <c r="H83" i="2"/>
  <c r="L82" i="2"/>
  <c r="H82" i="2"/>
  <c r="L81" i="2"/>
  <c r="H81" i="2"/>
  <c r="L80" i="2"/>
  <c r="H80" i="2"/>
  <c r="L79" i="2"/>
  <c r="H79" i="2"/>
  <c r="L78" i="2"/>
  <c r="H78" i="2"/>
  <c r="L77" i="2"/>
  <c r="H77" i="2"/>
  <c r="L76" i="2"/>
  <c r="H76" i="2"/>
  <c r="L75" i="2"/>
  <c r="H75" i="2"/>
  <c r="L74" i="2"/>
  <c r="H74" i="2"/>
  <c r="L73" i="2"/>
  <c r="H73" i="2"/>
  <c r="L72" i="2"/>
  <c r="H72" i="2"/>
  <c r="L71" i="2"/>
  <c r="H71" i="2"/>
  <c r="L70" i="2"/>
  <c r="H70" i="2"/>
  <c r="L69" i="2"/>
  <c r="H69" i="2"/>
  <c r="L68" i="2"/>
  <c r="H68" i="2"/>
  <c r="L67" i="2"/>
  <c r="H67" i="2"/>
  <c r="L66" i="2"/>
  <c r="H66" i="2"/>
  <c r="L65" i="2"/>
  <c r="H65" i="2"/>
  <c r="L64" i="2"/>
  <c r="H64" i="2"/>
  <c r="L63" i="2"/>
  <c r="H63" i="2"/>
  <c r="L62" i="2"/>
  <c r="H62" i="2"/>
  <c r="L61" i="2"/>
  <c r="H61" i="2"/>
  <c r="L60" i="2"/>
  <c r="H60" i="2"/>
  <c r="L59" i="2"/>
  <c r="H59" i="2"/>
  <c r="L58" i="2"/>
  <c r="H58" i="2"/>
  <c r="L57" i="2"/>
  <c r="H57" i="2"/>
  <c r="L56" i="2"/>
  <c r="H56" i="2"/>
  <c r="L55" i="2"/>
  <c r="H55" i="2"/>
  <c r="L54" i="2"/>
  <c r="H54" i="2"/>
  <c r="L53" i="2"/>
  <c r="H53" i="2"/>
  <c r="L52" i="2"/>
  <c r="H52" i="2"/>
  <c r="L51" i="2"/>
  <c r="H51" i="2"/>
  <c r="L50" i="2"/>
  <c r="H50" i="2"/>
  <c r="L49" i="2"/>
  <c r="H49" i="2"/>
  <c r="L48" i="2"/>
  <c r="H48" i="2"/>
  <c r="L47" i="2"/>
  <c r="H47" i="2"/>
  <c r="L46" i="2"/>
  <c r="H46" i="2"/>
  <c r="L45" i="2"/>
  <c r="H45" i="2"/>
  <c r="L44" i="2"/>
  <c r="H44" i="2"/>
  <c r="L43" i="2"/>
  <c r="H43" i="2"/>
  <c r="L42" i="2"/>
  <c r="H42" i="2"/>
  <c r="L41" i="2"/>
  <c r="H41" i="2"/>
  <c r="L40" i="2"/>
  <c r="H40" i="2"/>
  <c r="L39" i="2"/>
  <c r="H39" i="2"/>
  <c r="L38" i="2"/>
  <c r="H38" i="2"/>
  <c r="L37" i="2"/>
  <c r="H37" i="2"/>
  <c r="L35" i="2"/>
  <c r="H35" i="2"/>
  <c r="L34" i="2"/>
  <c r="H34" i="2"/>
  <c r="L33" i="2"/>
  <c r="H33" i="2"/>
  <c r="L32" i="2"/>
  <c r="H32" i="2"/>
  <c r="L31" i="2"/>
  <c r="H31" i="2"/>
  <c r="L30" i="2"/>
  <c r="H30" i="2"/>
  <c r="L29" i="2"/>
  <c r="H29" i="2"/>
  <c r="L28" i="2"/>
  <c r="H28" i="2"/>
  <c r="L27" i="2"/>
  <c r="H27" i="2"/>
  <c r="L26" i="2"/>
  <c r="H26" i="2"/>
  <c r="L25" i="2"/>
  <c r="H25" i="2"/>
  <c r="L24" i="2"/>
  <c r="H24" i="2"/>
  <c r="L23" i="2"/>
  <c r="H23" i="2"/>
  <c r="L22" i="2"/>
  <c r="H22" i="2"/>
  <c r="L21" i="2"/>
  <c r="H21" i="2"/>
  <c r="L20" i="2"/>
  <c r="H20" i="2"/>
  <c r="L19" i="2"/>
  <c r="H19" i="2"/>
  <c r="L18" i="2"/>
  <c r="H18" i="2"/>
  <c r="L17" i="2"/>
  <c r="H17" i="2"/>
  <c r="L16" i="2"/>
  <c r="H16" i="2"/>
  <c r="L15" i="2"/>
  <c r="H15" i="2"/>
  <c r="L14" i="2"/>
  <c r="H14" i="2"/>
  <c r="L13" i="2"/>
  <c r="H13" i="2"/>
  <c r="L12" i="2"/>
  <c r="H12" i="2"/>
  <c r="L11" i="2"/>
  <c r="H11" i="2"/>
  <c r="L10" i="2"/>
  <c r="H10" i="2"/>
  <c r="L9" i="2"/>
  <c r="H9" i="2"/>
  <c r="L8" i="2"/>
  <c r="H8" i="2"/>
  <c r="L7" i="2"/>
  <c r="H7" i="2"/>
  <c r="K7" i="2" s="1"/>
  <c r="L6" i="2"/>
  <c r="H6" i="2"/>
  <c r="L5" i="2"/>
  <c r="H5" i="2"/>
  <c r="L4" i="2"/>
  <c r="H4" i="2"/>
  <c r="K2" i="2"/>
  <c r="J2" i="2"/>
  <c r="I2" i="2"/>
  <c r="H2" i="2"/>
  <c r="J220" i="2" l="1"/>
  <c r="I220" i="2"/>
  <c r="I216" i="2"/>
  <c r="J216" i="2"/>
  <c r="J100" i="2"/>
  <c r="I36" i="2"/>
  <c r="K36" i="2"/>
  <c r="J36" i="2"/>
  <c r="I183" i="2"/>
  <c r="K183" i="2"/>
  <c r="J183" i="2"/>
  <c r="K119" i="2"/>
  <c r="J119" i="2"/>
  <c r="I119" i="2"/>
  <c r="I86" i="2"/>
  <c r="K86" i="2"/>
  <c r="J86" i="2"/>
  <c r="K22" i="2"/>
  <c r="J22" i="2"/>
  <c r="I22" i="2"/>
  <c r="K202" i="2"/>
  <c r="J202" i="2"/>
  <c r="J198" i="2"/>
  <c r="K198" i="2"/>
  <c r="J197" i="2"/>
  <c r="K196" i="2"/>
  <c r="J196" i="2"/>
  <c r="K195" i="2"/>
  <c r="J195" i="2"/>
  <c r="K194" i="2"/>
  <c r="I194" i="2"/>
  <c r="J194" i="2"/>
  <c r="I193" i="2"/>
  <c r="J193" i="2"/>
  <c r="J192" i="2"/>
  <c r="K192" i="2"/>
  <c r="K191" i="2"/>
  <c r="I191" i="2"/>
  <c r="J191" i="2"/>
  <c r="J190" i="2"/>
  <c r="J189" i="2"/>
  <c r="K189" i="2"/>
  <c r="K188" i="2"/>
  <c r="J188" i="2"/>
  <c r="K187" i="2"/>
  <c r="I187" i="2"/>
  <c r="J187" i="2"/>
  <c r="J186" i="2"/>
  <c r="K186" i="2"/>
  <c r="J185" i="2"/>
  <c r="K185" i="2"/>
  <c r="K184" i="2"/>
  <c r="J184" i="2"/>
  <c r="K182" i="2"/>
  <c r="J182" i="2"/>
  <c r="K181" i="2"/>
  <c r="J181" i="2"/>
  <c r="K180" i="2"/>
  <c r="J180" i="2"/>
  <c r="I180" i="2"/>
  <c r="K179" i="2"/>
  <c r="J179" i="2"/>
  <c r="K178" i="2"/>
  <c r="J178" i="2"/>
  <c r="I177" i="2"/>
  <c r="J177" i="2"/>
  <c r="K177" i="2"/>
  <c r="I176" i="2"/>
  <c r="J176" i="2"/>
  <c r="J175" i="2"/>
  <c r="K175" i="2"/>
  <c r="I174" i="2"/>
  <c r="J174" i="2"/>
  <c r="J173" i="2"/>
  <c r="I173" i="2"/>
  <c r="K173" i="2"/>
  <c r="J172" i="2"/>
  <c r="J171" i="2"/>
  <c r="I171" i="2"/>
  <c r="K171" i="2"/>
  <c r="K170" i="2"/>
  <c r="J170" i="2"/>
  <c r="I169" i="2"/>
  <c r="J169" i="2"/>
  <c r="K169" i="2"/>
  <c r="I168" i="2"/>
  <c r="J168" i="2"/>
  <c r="K168" i="2"/>
  <c r="J167" i="2"/>
  <c r="K167" i="2"/>
  <c r="K166" i="2"/>
  <c r="I166" i="2"/>
  <c r="J166" i="2"/>
  <c r="K165" i="2"/>
  <c r="J165" i="2"/>
  <c r="I165" i="2"/>
  <c r="K164" i="2"/>
  <c r="J164" i="2"/>
  <c r="I163" i="2"/>
  <c r="J163" i="2"/>
  <c r="I162" i="2"/>
  <c r="J162" i="2"/>
  <c r="K162" i="2"/>
  <c r="J161" i="2"/>
  <c r="K161" i="2"/>
  <c r="I161" i="2"/>
  <c r="J160" i="2"/>
  <c r="J159" i="2"/>
  <c r="K159" i="2"/>
  <c r="K158" i="2"/>
  <c r="J158" i="2"/>
  <c r="K157" i="2"/>
  <c r="J157" i="2"/>
  <c r="K156" i="2"/>
  <c r="J156" i="2"/>
  <c r="I156" i="2"/>
  <c r="J155" i="2"/>
  <c r="K155" i="2"/>
  <c r="I154" i="2"/>
  <c r="K154" i="2"/>
  <c r="J154" i="2"/>
  <c r="K153" i="2"/>
  <c r="I153" i="2"/>
  <c r="J153" i="2"/>
  <c r="I152" i="2"/>
  <c r="J152" i="2"/>
  <c r="K152" i="2"/>
  <c r="K151" i="2"/>
  <c r="J151" i="2"/>
  <c r="K150" i="2"/>
  <c r="I150" i="2"/>
  <c r="J150" i="2"/>
  <c r="I149" i="2"/>
  <c r="K149" i="2"/>
  <c r="J149" i="2"/>
  <c r="I148" i="2"/>
  <c r="J148" i="2"/>
  <c r="K148" i="2"/>
  <c r="J147" i="2"/>
  <c r="I147" i="2"/>
  <c r="K147" i="2"/>
  <c r="J146" i="2"/>
  <c r="J145" i="2"/>
  <c r="K144" i="2"/>
  <c r="J144" i="2"/>
  <c r="I144" i="2"/>
  <c r="I143" i="2"/>
  <c r="K143" i="2"/>
  <c r="J143" i="2"/>
  <c r="I142" i="2"/>
  <c r="J142" i="2"/>
  <c r="I141" i="2"/>
  <c r="K141" i="2"/>
  <c r="J141" i="2"/>
  <c r="J140" i="2"/>
  <c r="I139" i="2"/>
  <c r="K139" i="2"/>
  <c r="J139" i="2"/>
  <c r="K138" i="2"/>
  <c r="J138" i="2"/>
  <c r="I137" i="2"/>
  <c r="J137" i="2"/>
  <c r="K137" i="2"/>
  <c r="I136" i="2"/>
  <c r="J136" i="2"/>
  <c r="K136" i="2"/>
  <c r="K135" i="2"/>
  <c r="I135" i="2"/>
  <c r="J135" i="2"/>
  <c r="K134" i="2"/>
  <c r="J134" i="2"/>
  <c r="J133" i="2"/>
  <c r="K133" i="2"/>
  <c r="I133" i="2"/>
  <c r="J132" i="2"/>
  <c r="K132" i="2"/>
  <c r="I131" i="2"/>
  <c r="J131" i="2"/>
  <c r="K131" i="2"/>
  <c r="K130" i="2"/>
  <c r="I130" i="2"/>
  <c r="J130" i="2"/>
  <c r="I129" i="2"/>
  <c r="K129" i="2"/>
  <c r="J129" i="2"/>
  <c r="J128" i="2"/>
  <c r="K128" i="2"/>
  <c r="I128" i="2"/>
  <c r="J127" i="2"/>
  <c r="I127" i="2"/>
  <c r="K127" i="2"/>
  <c r="I126" i="2"/>
  <c r="J126" i="2"/>
  <c r="K126" i="2"/>
  <c r="I125" i="2"/>
  <c r="J125" i="2"/>
  <c r="K125" i="2"/>
  <c r="I124" i="2"/>
  <c r="J124" i="2"/>
  <c r="K124" i="2"/>
  <c r="K123" i="2"/>
  <c r="J123" i="2"/>
  <c r="I123" i="2"/>
  <c r="I122" i="2"/>
  <c r="J122" i="2"/>
  <c r="K122" i="2"/>
  <c r="K121" i="2"/>
  <c r="J121" i="2"/>
  <c r="I121" i="2"/>
  <c r="I120" i="2"/>
  <c r="J120" i="2"/>
  <c r="K120" i="2"/>
  <c r="J118" i="2"/>
  <c r="K118" i="2"/>
  <c r="I118" i="2"/>
  <c r="J117" i="2"/>
  <c r="K117" i="2"/>
  <c r="I117" i="2"/>
  <c r="K116" i="2"/>
  <c r="I116" i="2"/>
  <c r="J116" i="2"/>
  <c r="K115" i="2"/>
  <c r="J115" i="2"/>
  <c r="I115" i="2"/>
  <c r="I114" i="2"/>
  <c r="K114" i="2"/>
  <c r="J114" i="2"/>
  <c r="K113" i="2"/>
  <c r="J113" i="2"/>
  <c r="I113" i="2"/>
  <c r="I112" i="2"/>
  <c r="K112" i="2"/>
  <c r="J112" i="2"/>
  <c r="I111" i="2"/>
  <c r="J111" i="2"/>
  <c r="K111" i="2"/>
  <c r="J110" i="2"/>
  <c r="K110" i="2"/>
  <c r="I110" i="2"/>
  <c r="K109" i="2"/>
  <c r="I109" i="2"/>
  <c r="J109" i="2"/>
  <c r="I108" i="2"/>
  <c r="J108" i="2"/>
  <c r="K108" i="2"/>
  <c r="J107" i="2"/>
  <c r="K107" i="2"/>
  <c r="I107" i="2"/>
  <c r="K106" i="2"/>
  <c r="J106" i="2"/>
  <c r="I106" i="2"/>
  <c r="J105" i="2"/>
  <c r="K105" i="2"/>
  <c r="I104" i="2"/>
  <c r="K104" i="2"/>
  <c r="J104" i="2"/>
  <c r="I103" i="2"/>
  <c r="K103" i="2"/>
  <c r="J103" i="2"/>
  <c r="K102" i="2"/>
  <c r="J102" i="2"/>
  <c r="I101" i="2"/>
  <c r="K101" i="2"/>
  <c r="J101" i="2"/>
  <c r="I100" i="2"/>
  <c r="K100" i="2"/>
  <c r="I98" i="2"/>
  <c r="K98" i="2"/>
  <c r="J98" i="2"/>
  <c r="J97" i="2"/>
  <c r="K97" i="2"/>
  <c r="I97" i="2"/>
  <c r="K96" i="2"/>
  <c r="J96" i="2"/>
  <c r="I96" i="2"/>
  <c r="J95" i="2"/>
  <c r="K95" i="2"/>
  <c r="I95" i="2"/>
  <c r="K93" i="2"/>
  <c r="J93" i="2"/>
  <c r="I93" i="2"/>
  <c r="K92" i="2"/>
  <c r="J92" i="2"/>
  <c r="I92" i="2"/>
  <c r="J91" i="2"/>
  <c r="K91" i="2"/>
  <c r="I91" i="2"/>
  <c r="K90" i="2"/>
  <c r="J90" i="2"/>
  <c r="I90" i="2"/>
  <c r="I89" i="2"/>
  <c r="K89" i="2"/>
  <c r="J89" i="2"/>
  <c r="I88" i="2"/>
  <c r="J88" i="2"/>
  <c r="K88" i="2"/>
  <c r="J87" i="2"/>
  <c r="K87" i="2"/>
  <c r="I87" i="2"/>
  <c r="J85" i="2"/>
  <c r="I85" i="2"/>
  <c r="K85" i="2"/>
  <c r="K84" i="2"/>
  <c r="J84" i="2"/>
  <c r="I84" i="2"/>
  <c r="K83" i="2"/>
  <c r="I83" i="2"/>
  <c r="J83" i="2"/>
  <c r="I82" i="2"/>
  <c r="J82" i="2"/>
  <c r="K82" i="2"/>
  <c r="J81" i="2"/>
  <c r="I81" i="2"/>
  <c r="K81" i="2"/>
  <c r="I80" i="2"/>
  <c r="J80" i="2"/>
  <c r="K80" i="2"/>
  <c r="J79" i="2"/>
  <c r="K79" i="2"/>
  <c r="K78" i="2"/>
  <c r="J78" i="2"/>
  <c r="I78" i="2"/>
  <c r="J77" i="2"/>
  <c r="I77" i="2"/>
  <c r="K77" i="2"/>
  <c r="K76" i="2"/>
  <c r="J76" i="2"/>
  <c r="I76" i="2"/>
  <c r="I75" i="2"/>
  <c r="K75" i="2"/>
  <c r="J75" i="2"/>
  <c r="K74" i="2"/>
  <c r="J74" i="2"/>
  <c r="I74" i="2"/>
  <c r="K73" i="2"/>
  <c r="J73" i="2"/>
  <c r="I73" i="2"/>
  <c r="K72" i="2"/>
  <c r="J72" i="2"/>
  <c r="I72" i="2"/>
  <c r="K71" i="2"/>
  <c r="J71" i="2"/>
  <c r="I71" i="2"/>
  <c r="J70" i="2"/>
  <c r="K70" i="2"/>
  <c r="I70" i="2"/>
  <c r="I69" i="2"/>
  <c r="J69" i="2"/>
  <c r="K69" i="2"/>
  <c r="J68" i="2"/>
  <c r="K68" i="2"/>
  <c r="I68" i="2"/>
  <c r="I67" i="2"/>
  <c r="K67" i="2"/>
  <c r="J67" i="2"/>
  <c r="K66" i="2"/>
  <c r="J66" i="2"/>
  <c r="I66" i="2"/>
  <c r="K65" i="2"/>
  <c r="J65" i="2"/>
  <c r="I65" i="2"/>
  <c r="K64" i="2"/>
  <c r="I64" i="2"/>
  <c r="J64" i="2"/>
  <c r="J63" i="2"/>
  <c r="K63" i="2"/>
  <c r="I63" i="2"/>
  <c r="K62" i="2"/>
  <c r="J62" i="2"/>
  <c r="I62" i="2"/>
  <c r="I61" i="2"/>
  <c r="J61" i="2"/>
  <c r="K61" i="2"/>
  <c r="J60" i="2"/>
  <c r="I60" i="2"/>
  <c r="K60" i="2"/>
  <c r="I59" i="2"/>
  <c r="J59" i="2"/>
  <c r="K59" i="2"/>
  <c r="I58" i="2"/>
  <c r="J58" i="2"/>
  <c r="K58" i="2"/>
  <c r="I57" i="2"/>
  <c r="J57" i="2"/>
  <c r="K57" i="2"/>
  <c r="I56" i="2"/>
  <c r="J56" i="2"/>
  <c r="K56" i="2"/>
  <c r="J55" i="2"/>
  <c r="K55" i="2"/>
  <c r="I55" i="2"/>
  <c r="I54" i="2"/>
  <c r="J54" i="2"/>
  <c r="K54" i="2"/>
  <c r="I53" i="2"/>
  <c r="J53" i="2"/>
  <c r="K53" i="2"/>
  <c r="I52" i="2"/>
  <c r="J52" i="2"/>
  <c r="K52" i="2"/>
  <c r="K51" i="2"/>
  <c r="I51" i="2"/>
  <c r="J51" i="2"/>
  <c r="I50" i="2"/>
  <c r="J50" i="2"/>
  <c r="K50" i="2"/>
  <c r="K49" i="2"/>
  <c r="I49" i="2"/>
  <c r="J49" i="2"/>
  <c r="I48" i="2"/>
  <c r="K48" i="2"/>
  <c r="J48" i="2"/>
  <c r="I47" i="2"/>
  <c r="K47" i="2"/>
  <c r="J47" i="2"/>
  <c r="J46" i="2"/>
  <c r="K46" i="2"/>
  <c r="I46" i="2"/>
  <c r="I45" i="2"/>
  <c r="K45" i="2"/>
  <c r="J45" i="2"/>
  <c r="I44" i="2"/>
  <c r="K44" i="2"/>
  <c r="J44" i="2"/>
  <c r="K43" i="2"/>
  <c r="J43" i="2"/>
  <c r="I43" i="2"/>
  <c r="I42" i="2"/>
  <c r="J42" i="2"/>
  <c r="K42" i="2"/>
  <c r="J41" i="2"/>
  <c r="K41" i="2"/>
  <c r="I41" i="2"/>
  <c r="J40" i="2"/>
  <c r="K40" i="2"/>
  <c r="I40" i="2"/>
  <c r="K39" i="2"/>
  <c r="I39" i="2"/>
  <c r="J39" i="2"/>
  <c r="I38" i="2"/>
  <c r="J38" i="2"/>
  <c r="K38" i="2"/>
  <c r="I37" i="2"/>
  <c r="K37" i="2"/>
  <c r="J37" i="2"/>
  <c r="I35" i="2"/>
  <c r="J35" i="2"/>
  <c r="K35" i="2"/>
  <c r="J34" i="2"/>
  <c r="I34" i="2"/>
  <c r="K34" i="2"/>
  <c r="I33" i="2"/>
  <c r="K33" i="2"/>
  <c r="J33" i="2"/>
  <c r="K32" i="2"/>
  <c r="J32" i="2"/>
  <c r="I32" i="2"/>
  <c r="J31" i="2"/>
  <c r="I31" i="2"/>
  <c r="K31" i="2"/>
  <c r="I30" i="2"/>
  <c r="J30" i="2"/>
  <c r="K30" i="2"/>
  <c r="I29" i="2"/>
  <c r="J29" i="2"/>
  <c r="K29" i="2"/>
  <c r="K28" i="2"/>
  <c r="J28" i="2"/>
  <c r="I28" i="2"/>
  <c r="I27" i="2"/>
  <c r="K27" i="2"/>
  <c r="J27" i="2"/>
  <c r="K26" i="2"/>
  <c r="J26" i="2"/>
  <c r="I26" i="2"/>
  <c r="K25" i="2"/>
  <c r="J25" i="2"/>
  <c r="I25" i="2"/>
  <c r="I24" i="2"/>
  <c r="J24" i="2"/>
  <c r="K24" i="2"/>
  <c r="J23" i="2"/>
  <c r="K23" i="2"/>
  <c r="I23" i="2"/>
  <c r="J21" i="2"/>
  <c r="K21" i="2"/>
  <c r="K20" i="2"/>
  <c r="I20" i="2"/>
  <c r="J20" i="2"/>
  <c r="I19" i="2"/>
  <c r="J19" i="2"/>
  <c r="K19" i="2"/>
  <c r="I18" i="2"/>
  <c r="J18" i="2"/>
  <c r="K18" i="2"/>
  <c r="J17" i="2"/>
  <c r="K17" i="2"/>
  <c r="K16" i="2"/>
  <c r="J16" i="2"/>
  <c r="I16" i="2"/>
  <c r="K15" i="2"/>
  <c r="J15" i="2"/>
  <c r="I15" i="2"/>
  <c r="K14" i="2"/>
  <c r="J14" i="2"/>
  <c r="I14" i="2"/>
  <c r="K13" i="2"/>
  <c r="J13" i="2"/>
  <c r="I13" i="2"/>
  <c r="K12" i="2"/>
  <c r="J12" i="2"/>
  <c r="I12" i="2"/>
  <c r="K11" i="2"/>
  <c r="J11" i="2"/>
  <c r="I11" i="2"/>
  <c r="K10" i="2"/>
  <c r="J10" i="2"/>
  <c r="I10" i="2"/>
  <c r="K9" i="2"/>
  <c r="J9" i="2"/>
  <c r="I9" i="2"/>
  <c r="J8" i="2"/>
  <c r="I8" i="2"/>
  <c r="K8" i="2"/>
  <c r="J7" i="2"/>
  <c r="I7" i="2"/>
  <c r="K6" i="2"/>
  <c r="J6" i="2"/>
  <c r="I6" i="2"/>
  <c r="K5" i="2"/>
  <c r="J5" i="2"/>
  <c r="I5" i="2"/>
  <c r="K4" i="2"/>
  <c r="J4" i="2"/>
  <c r="I4" i="2"/>
</calcChain>
</file>

<file path=xl/sharedStrings.xml><?xml version="1.0" encoding="utf-8"?>
<sst xmlns="http://schemas.openxmlformats.org/spreadsheetml/2006/main" count="1135" uniqueCount="297">
  <si>
    <t>cancelado</t>
  </si>
  <si>
    <t>MODELO</t>
  </si>
  <si>
    <t>APROVADOR</t>
  </si>
  <si>
    <t>REQUISIÇÃO</t>
  </si>
  <si>
    <t>PEDIDO</t>
  </si>
  <si>
    <t>VIM</t>
  </si>
  <si>
    <t>STATUS VIM</t>
  </si>
  <si>
    <t>NOTA FISCAL</t>
  </si>
  <si>
    <t>FORNECEDOR</t>
  </si>
  <si>
    <t>STATUS</t>
  </si>
  <si>
    <t>Material</t>
  </si>
  <si>
    <t>Marco Stella</t>
  </si>
  <si>
    <t>FINALIZADO</t>
  </si>
  <si>
    <t>Serviço</t>
  </si>
  <si>
    <t>Soquetes GEDORE</t>
  </si>
  <si>
    <t xml:space="preserve">Bate Rodas </t>
  </si>
  <si>
    <t>Materiais Papel e Pintura</t>
  </si>
  <si>
    <t>Bujão em SAE 4340</t>
  </si>
  <si>
    <t>Luva espaçadora impregnação</t>
  </si>
  <si>
    <t>Adaptador T</t>
  </si>
  <si>
    <t xml:space="preserve">BOTIJAO AREZZO e materias </t>
  </si>
  <si>
    <t>CONDUITE DO CABO SOLDA</t>
  </si>
  <si>
    <t>CA131130 - Bucha Guia de Bronze</t>
  </si>
  <si>
    <t>CA131275 - Trava para capacitores REV02</t>
  </si>
  <si>
    <t>Serviço de remoção, carregamento, transporte interno</t>
  </si>
  <si>
    <t>OI</t>
  </si>
  <si>
    <t>TRANSPALETE 2500KG (Paleteiras)</t>
  </si>
  <si>
    <t>Suporte carros de PP 012460; 012461</t>
  </si>
  <si>
    <t>Adequação NR12 Ensaio BT 012632</t>
  </si>
  <si>
    <t>NR12 Estufa Heat Soaking 03 012096</t>
  </si>
  <si>
    <t>Carro inox com prateleiras</t>
  </si>
  <si>
    <t>Carro tanque pintura</t>
  </si>
  <si>
    <t>Sistema de pintura Airless</t>
  </si>
  <si>
    <t>Mandíbula de cravação</t>
  </si>
  <si>
    <t>Capas de eixo</t>
  </si>
  <si>
    <t>Materiais pintura e papel</t>
  </si>
  <si>
    <t>DISPOSITIVO FIXAÇÃO ROSCA M6 E M10</t>
  </si>
  <si>
    <t>ESCADA ALUMINIO ALULEV INDUSTRIAL Pintura</t>
  </si>
  <si>
    <t>Infraestrutura e elétrica para Secadores, Gerador de Nitrogênio e Chiller</t>
  </si>
  <si>
    <t>CAIXAS PARA O TRANSPORTE DE PAPEL</t>
  </si>
  <si>
    <t>Torquimetro e Paquimetro</t>
  </si>
  <si>
    <t>Gabarito Pintura</t>
  </si>
  <si>
    <t>Inspeçao espelho e lanterna</t>
  </si>
  <si>
    <t>BICO DE SOLDA Ø8</t>
  </si>
  <si>
    <t>Fita de Arquar e parafusos M12 Bobinagem.</t>
  </si>
  <si>
    <t>Dispositivo Medição de altura com laser  Mq solda Terminal</t>
  </si>
  <si>
    <t>Microondas, Sanduichera e Mop</t>
  </si>
  <si>
    <t>Brocas 3,2</t>
  </si>
  <si>
    <t>Aspirador e Agulhas</t>
  </si>
  <si>
    <t>Bigorna, caneta, pen drive e teclado</t>
  </si>
  <si>
    <t>Conexao latao</t>
  </si>
  <si>
    <t>EIXO CHAVETA DUPLA</t>
  </si>
  <si>
    <t>EIXO ENCODER</t>
  </si>
  <si>
    <t xml:space="preserve">Bate Rodas e Grades </t>
  </si>
  <si>
    <t>Brindes Outubro Rosa</t>
  </si>
  <si>
    <t>cintas de Içamento</t>
  </si>
  <si>
    <t>Jogo de Brocas e Tesouras</t>
  </si>
  <si>
    <t>Cossinetes, Macho e Desandador</t>
  </si>
  <si>
    <t>CANETA STYLUS TOUCH</t>
  </si>
  <si>
    <t>Maçarico</t>
  </si>
  <si>
    <t>espatula e lanterna de cabeça</t>
  </si>
  <si>
    <t>Conexão latao recuperação</t>
  </si>
  <si>
    <t>Cola e seringa papel</t>
  </si>
  <si>
    <t>sprays manutencao</t>
  </si>
  <si>
    <t>Paquimetros</t>
  </si>
  <si>
    <t>lamina papel e Protetor de cabos piso</t>
  </si>
  <si>
    <t>BANDEJA DE PLASTICO ATLAS 15CM PRETA 1415P</t>
  </si>
  <si>
    <t>TESOURA DE AVIADOR E PORTA COSSINETES</t>
  </si>
  <si>
    <t>SACOS LIXOS SUPORTE PARA FITA E FITA 3M</t>
  </si>
  <si>
    <t>Morça para o papel</t>
  </si>
  <si>
    <t>Serviço do cesar calza solicitado pelo erick</t>
  </si>
  <si>
    <t>Camera keynce</t>
  </si>
  <si>
    <t xml:space="preserve">Escovas </t>
  </si>
  <si>
    <t>Mesa e Bandeija Pintura</t>
  </si>
  <si>
    <t>Painel Ferramentas, Grampo solda robo e fonte Janeilson</t>
  </si>
  <si>
    <t>Antirespingo de Solda</t>
  </si>
  <si>
    <t>EBARBADOR DE PARAFUSO, TRENA LASER BOSCH, CAPA CASE NOTEBOOK , MAÇARICO</t>
  </si>
  <si>
    <t>Jacares</t>
  </si>
  <si>
    <t>Spray solda terminal erick e pa Rejanildo</t>
  </si>
  <si>
    <t>Placas de polipropileno</t>
  </si>
  <si>
    <t>Lamina de crimpar tecnoprinter</t>
  </si>
  <si>
    <t>chave de impacto CP7773</t>
  </si>
  <si>
    <t>fita alumínio</t>
  </si>
  <si>
    <t>Cadeiras Montagem</t>
  </si>
  <si>
    <t>Placa de Sinalização EHS</t>
  </si>
  <si>
    <t>Placa de Sinalização EHS 2</t>
  </si>
  <si>
    <t>Escada para redução de movimentação Kaizen</t>
  </si>
  <si>
    <t>ANEL ORING SILICONE 29.51 X 5.33</t>
  </si>
  <si>
    <t>Programação célula de emborrachamento</t>
  </si>
  <si>
    <t>Carrinho para o microondas Papel</t>
  </si>
  <si>
    <t>Chave hexagonal t e agulhas e bico de fluido</t>
  </si>
  <si>
    <t>Ferramenta de crimpar e espatula</t>
  </si>
  <si>
    <t>Ferramentas montagem de rack e lanterna</t>
  </si>
  <si>
    <t>Placas de Naylon</t>
  </si>
  <si>
    <t>Octans sensores solda terminal</t>
  </si>
  <si>
    <t>Serviço de Inspeção de cintas</t>
  </si>
  <si>
    <t>Trava roscada para carrinho da Insersora</t>
  </si>
  <si>
    <t>sistema de giro das prensas</t>
  </si>
  <si>
    <t>facas maquina de rabicho e dispositivo manutenção</t>
  </si>
  <si>
    <t>Alicate e Espatula</t>
  </si>
  <si>
    <t>Maquitas a Bateria</t>
  </si>
  <si>
    <t>Maquita a Fio</t>
  </si>
  <si>
    <t>Serviços JVA</t>
  </si>
  <si>
    <t>Adequação dispositivos de solda</t>
  </si>
  <si>
    <t>Portas Chaves</t>
  </si>
  <si>
    <t xml:space="preserve">Frigrobar Balck </t>
  </si>
  <si>
    <t>Jacares LEE</t>
  </si>
  <si>
    <t>TVs Rafa</t>
  </si>
  <si>
    <t xml:space="preserve">Carrinhos transporte de isolações </t>
  </si>
  <si>
    <t>Rodrigo Zerneri</t>
  </si>
  <si>
    <t>Bate rodas calzas serviço</t>
  </si>
  <si>
    <t>Bate rodas calza produto</t>
  </si>
  <si>
    <t>TRANSFORMADOR REDUTOR</t>
  </si>
  <si>
    <t xml:space="preserve">Furadeira Reversível </t>
  </si>
  <si>
    <t>cordão e manta absorvente - AC6105</t>
  </si>
  <si>
    <t>Alteração dos programas do CLP e da IHM</t>
  </si>
  <si>
    <t xml:space="preserve">TOCHA MIG SBME / GUIA ESPIRAL TEFLON </t>
  </si>
  <si>
    <t>CA132278 PROTECAO ENGRENAGEM SISTEMA DE SUBIDA</t>
  </si>
  <si>
    <t xml:space="preserve">CA131279 CALCO SETUP PARA CAIXAS DE 150 E 130 MQ DE SOLDA </t>
  </si>
  <si>
    <t>PONTA PUXADOR ENCAPISULAMENTO</t>
  </si>
  <si>
    <t>Carrinho para Ferramentas Fechado com 5 Gavetas</t>
  </si>
  <si>
    <t>Carro para Microondas papel</t>
  </si>
  <si>
    <t>Coletores Manutenção</t>
  </si>
  <si>
    <t>Fita Pet / Canaleta / Escada</t>
  </si>
  <si>
    <t>FECHO DUPLA ESFERA / Lousa / Oleo bobinagem</t>
  </si>
  <si>
    <t>tesoura tipo funileiro Irwin</t>
  </si>
  <si>
    <t>Suporte de Carretel</t>
  </si>
  <si>
    <t>ELETRODO TUNGSTENIO</t>
  </si>
  <si>
    <t>CA131268-D Dispositivo fix cap. Pos. 14</t>
  </si>
  <si>
    <t>CENTRALIZADOR PONTA DE FIXAÇÃO</t>
  </si>
  <si>
    <t>Vassoura bit de soquetes chave fixa e caixa e ferramentas do armario industrial</t>
  </si>
  <si>
    <t>BICO MIG F1,2MM M6 L45 D8 TET</t>
  </si>
  <si>
    <t>Molde vazado Papel</t>
  </si>
  <si>
    <t>Rolamentos BL210ZZ NSK</t>
  </si>
  <si>
    <t>CA123277 - Suporte para facas Bobinadeira</t>
  </si>
  <si>
    <t xml:space="preserve"> JOGO DE SACA-PARAFUSOS   CABO BATERIA DANEVA ADESIVO BLACKOUT BRANCO</t>
  </si>
  <si>
    <t xml:space="preserve">Adequação suporte microondas </t>
  </si>
  <si>
    <t>Bate rodas e PROTEÇÃO</t>
  </si>
  <si>
    <t xml:space="preserve">Furadeira Parafusadeira 3/8 Kit para Fixação Organizador Plástico </t>
  </si>
  <si>
    <t xml:space="preserve">Mangueiras </t>
  </si>
  <si>
    <t>Suporte parede cabo capacimetro e jacare LEE</t>
  </si>
  <si>
    <t>PROTEÇÃO BUCHA JATO</t>
  </si>
  <si>
    <t xml:space="preserve">Jogos de macho </t>
  </si>
  <si>
    <t>OI 2352918</t>
  </si>
  <si>
    <t xml:space="preserve"> OI - Contador de Partículas</t>
  </si>
  <si>
    <t>OI -CARRO DE TRANSPORTE P/CAIXAS DO PAPEL</t>
  </si>
  <si>
    <t>Sensor de vacuo</t>
  </si>
  <si>
    <t>Arqueadeira</t>
  </si>
  <si>
    <t xml:space="preserve">CAPACÍMETRO U1732C </t>
  </si>
  <si>
    <t xml:space="preserve">Megômetro Digital MD1035X </t>
  </si>
  <si>
    <t>Disjuntor Caixa Moldada Tripolar Termomagnético</t>
  </si>
  <si>
    <t>acrílico cristal transparente</t>
  </si>
  <si>
    <t>FLUXOMETRO BIBIMETRO PARA GAS P/ TOCHA MIG/TIG - ALICATE DESENCAPADOR</t>
  </si>
  <si>
    <t>Sargento e vassoura</t>
  </si>
  <si>
    <t>MOLYKOTE PASTA D 1KG</t>
  </si>
  <si>
    <t>CAIXAS TECNOTRI</t>
  </si>
  <si>
    <t>Ganchos Pintura</t>
  </si>
  <si>
    <t>CA123279 - Régua dobra do aluminio</t>
  </si>
  <si>
    <t>Cotação Torquimetro Gedore</t>
  </si>
  <si>
    <t>Capas para Bucha</t>
  </si>
  <si>
    <t>FITA PETFLEX VERDE 16 x 1.200</t>
  </si>
  <si>
    <t xml:space="preserve">Termoigometro,espatula recuperação,Chave inglesa papel </t>
  </si>
  <si>
    <t>Serviços Farropilha reforçar Dryal Instalar TV na Montagem e serviços de alvenaria</t>
  </si>
  <si>
    <t xml:space="preserve">Logitech BCC950 VC 960-00086 -  Camêra sala de treinamento </t>
  </si>
  <si>
    <t>BICO DE CONTATO 1,20 - Recuperação e Solda Robô.</t>
  </si>
  <si>
    <t>Termoigometro - Montagem - chave ingles- papel Epatula Recuperação</t>
  </si>
  <si>
    <t>Octans Dispositivo para sensor de laser</t>
  </si>
  <si>
    <t>ANEL RS 4MM Bobinagem REGULADOR DE PRESSÃO pintura  HEADSET escritorio</t>
  </si>
  <si>
    <t>5 ARMARIOS PREDIO 11 E 4</t>
  </si>
  <si>
    <t>ALTERACAO CARRO DE PROLIPROPILENO</t>
  </si>
  <si>
    <t>MÁQUINA DE SOLDA MIG</t>
  </si>
  <si>
    <t>TALHA BANHO DESENGRAXANTE</t>
  </si>
  <si>
    <t>CONJUNTO BALANCIM</t>
  </si>
  <si>
    <t xml:space="preserve">ARQUEADEIRA CYCLOPE </t>
  </si>
  <si>
    <t xml:space="preserve">BOMBA PARA OLEO ISOLANTE MODELO RZR-2K-FRV </t>
  </si>
  <si>
    <t>MANDIBULA DE CORTE
MANDIBULA DE CRAVAÇÃO</t>
  </si>
  <si>
    <t>MAQUINA DE CORTAR E CRIMPAR
CRAVADORA 
BATERIA</t>
  </si>
  <si>
    <t>BOMBA RZR 1K FRN</t>
  </si>
  <si>
    <t>REBITADORA E
BATERIA</t>
  </si>
  <si>
    <t>PARAFUSADEIRA SIW4AT
MODULO
BATERIA</t>
  </si>
  <si>
    <t>PEÇAS SOBRESSALENTES USINADAS FABRICA</t>
  </si>
  <si>
    <t>CAPA ELETRODO LONGA TF505</t>
  </si>
  <si>
    <t xml:space="preserve">Skid de Vácuo
</t>
  </si>
  <si>
    <t>CA131275 - Trava para capacitores</t>
  </si>
  <si>
    <t>Tanque desengraxante Inox</t>
  </si>
  <si>
    <t>CA13280 Conexao calhas a Ø  2"</t>
  </si>
  <si>
    <t>Maquina de Jateamento</t>
  </si>
  <si>
    <t>Bico de Solda  1mm CUCRZ manual e Robô</t>
  </si>
  <si>
    <t>LUBRIFICANTE PISTOLA DELVIBIS</t>
  </si>
  <si>
    <t>Baterias recarregaveis montagem</t>
  </si>
  <si>
    <t>Sobressalentes solda robo</t>
  </si>
  <si>
    <t>Parafusadeiras e materiais para montagem</t>
  </si>
  <si>
    <t>SUPORTE P/ MACARICO JACKWAL 003.049</t>
  </si>
  <si>
    <t>MAQUINA DE FITA GOMADA</t>
  </si>
  <si>
    <t>ANTIRESPINGO DE SOLDA</t>
  </si>
  <si>
    <t>BATERIAS PARA REBITADORA</t>
  </si>
  <si>
    <t>Materias Montagem</t>
  </si>
  <si>
    <t>Gancho olhal giratorio -Pintura</t>
  </si>
  <si>
    <t>Guia Expiral Teflon Robô</t>
  </si>
  <si>
    <t>Capas para Bucha Pintura</t>
  </si>
  <si>
    <t>Rebitador 3/32" a 3/16" 18V - Montagem de Rack</t>
  </si>
  <si>
    <t>Elitrificação Estufa HS 1</t>
  </si>
  <si>
    <t>Programação célula de soldagem terminais</t>
  </si>
  <si>
    <t>Materiais Montagem</t>
  </si>
  <si>
    <t xml:space="preserve">Alicates para Montagem </t>
  </si>
  <si>
    <t>FACA DE DECAPE P/ CABO 50MM</t>
  </si>
  <si>
    <t>Rebitadeira DeWALT DCF403</t>
  </si>
  <si>
    <t>Serviço de ligação da tubalação de GLP</t>
  </si>
  <si>
    <t xml:space="preserve">Guia da Ribitadeir e Facas </t>
  </si>
  <si>
    <t>Gabarito de alinhamento das cordoalhas CA131150</t>
  </si>
  <si>
    <t>Sobressalentes – Solda Robô</t>
  </si>
  <si>
    <t>GANCHO OLHAL GIRATORIO AUTOMATICO GRAU 8 7-8MM VARAL PINTURA</t>
  </si>
  <si>
    <t>balancin - REV 02</t>
  </si>
  <si>
    <t>Parafusos Allen cabeça inox M2 X 8mm</t>
  </si>
  <si>
    <t>Parafusadeiras e Limpa Contato Montagem</t>
  </si>
  <si>
    <t xml:space="preserve">MANCAL LINEAR PARA BATEDOR DO ROBO DE SOLDA </t>
  </si>
  <si>
    <t>Vaselina e Pa - Pintura</t>
  </si>
  <si>
    <t>Placa Saca Bobina CA123272</t>
  </si>
  <si>
    <t>Carro posicionador de rolos de alumínio</t>
  </si>
  <si>
    <t>Sistema de Tratamento de oleo</t>
  </si>
  <si>
    <t>Materiais montagem - grampo, morça, alicate</t>
  </si>
  <si>
    <t>Materiais montagem - trena, centelhador</t>
  </si>
  <si>
    <t>Dosador de cola - Papel</t>
  </si>
  <si>
    <t>Bicos de contatos solda Robô</t>
  </si>
  <si>
    <t>CONTROLE DE REQUISIÇÕES</t>
  </si>
  <si>
    <t>Coluna1</t>
  </si>
  <si>
    <t>SOLICITANTE</t>
  </si>
  <si>
    <t>Amanda</t>
  </si>
  <si>
    <t>Erick</t>
  </si>
  <si>
    <t>Rafael</t>
  </si>
  <si>
    <t>Fernanda</t>
  </si>
  <si>
    <t>09/032026</t>
  </si>
  <si>
    <t>10/032026</t>
  </si>
  <si>
    <t>BOXER</t>
  </si>
  <si>
    <t>13,899.00</t>
  </si>
  <si>
    <t>CYKLOP DO BRASIL EMBALAGENS SA.</t>
  </si>
  <si>
    <t>AGUARDANDO ENTREGA</t>
  </si>
  <si>
    <t>ZAP USINAGEM E CALDEIRARIA</t>
  </si>
  <si>
    <t>OXIGENIO JUNDIAI COML. DE GASES</t>
  </si>
  <si>
    <t>DESCRIÇÃO</t>
  </si>
  <si>
    <t>5,300.00</t>
  </si>
  <si>
    <t>1,198.00</t>
  </si>
  <si>
    <t>2,485.00</t>
  </si>
  <si>
    <t>2,383.34</t>
  </si>
  <si>
    <t>ANHANGUERA COMERCIO DE</t>
  </si>
  <si>
    <t>1,555.88</t>
  </si>
  <si>
    <t>ECO FLUID</t>
  </si>
  <si>
    <t>CONDUTA - E.R.C. SOLUCOES</t>
  </si>
  <si>
    <t>9,400.00</t>
  </si>
  <si>
    <t>MB - COMERCIO E PRESTACAO DE SERVIC</t>
  </si>
  <si>
    <t>TIAGO DE BROI EIRELI EPP.</t>
  </si>
  <si>
    <t>USINAGEM E FERRAMENTARIA LUZ &amp; LUZ</t>
  </si>
  <si>
    <t>2,790.00</t>
  </si>
  <si>
    <t>6,082.00</t>
  </si>
  <si>
    <t>495.00</t>
  </si>
  <si>
    <t>MOTA - USINAGEM E</t>
  </si>
  <si>
    <t>15,846.00</t>
  </si>
  <si>
    <t>3,417.00</t>
  </si>
  <si>
    <t>LIFTEC BRASIL SUPRIMENTOS</t>
  </si>
  <si>
    <t>ROVAMEC USINAGEM LTDA. EPP.</t>
  </si>
  <si>
    <t>3,390.00</t>
  </si>
  <si>
    <t>2,276.00</t>
  </si>
  <si>
    <t>TECNOCRIMPER INDUSTRIA E</t>
  </si>
  <si>
    <t>7,800.00</t>
  </si>
  <si>
    <t>DCSPRO - AUTOMACAO PROJETOS E</t>
  </si>
  <si>
    <t>46,295.00</t>
  </si>
  <si>
    <t>450,000.00</t>
  </si>
  <si>
    <t>LEYBOLD</t>
  </si>
  <si>
    <t>TECNOTRI</t>
  </si>
  <si>
    <t>2,117.00</t>
  </si>
  <si>
    <t>AÇO LIMPO</t>
  </si>
  <si>
    <t>GOLDEN COMERCIO E ASSISTENCIA</t>
  </si>
  <si>
    <t>Verificar Alíquota de Impostos (PAF_MIGO)</t>
  </si>
  <si>
    <t>17,950.00</t>
  </si>
  <si>
    <t>28,653.00</t>
  </si>
  <si>
    <t>68,500.00</t>
  </si>
  <si>
    <t>VLACON</t>
  </si>
  <si>
    <t>TEC JATO</t>
  </si>
  <si>
    <t>1.250,000.00</t>
  </si>
  <si>
    <t>DESPESA</t>
  </si>
  <si>
    <t>26,182.00</t>
  </si>
  <si>
    <t>ARAGAO</t>
  </si>
  <si>
    <t>35,145.00</t>
  </si>
  <si>
    <t>LUBRISYSTEM</t>
  </si>
  <si>
    <t>EDWARDS VACUO LTDA.</t>
  </si>
  <si>
    <t>630,000.00</t>
  </si>
  <si>
    <t>Travas de Aço Capacitores</t>
  </si>
  <si>
    <t>Acendedor de maçartico e vaselina</t>
  </si>
  <si>
    <t>Trava balancin CA131255</t>
  </si>
  <si>
    <t xml:space="preserve">Adequação NR12, MQ. De Placa </t>
  </si>
  <si>
    <t>Maquina de Solda Boxer</t>
  </si>
  <si>
    <t>OCTANS SISTEMAS DE AUTOMACAO LTDA.</t>
  </si>
  <si>
    <t>17,175.24</t>
  </si>
  <si>
    <t>26,316.00</t>
  </si>
  <si>
    <t>300.00</t>
  </si>
  <si>
    <t>2,366.00</t>
  </si>
  <si>
    <t>44,925.00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</si>
</sst>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Cotação-&quot;"/>
    <numFmt numFmtId="165" formatCode="m/d/yyyy"/>
  </numFmts>
  <fonts count="4" x14ac:knownFonts="1">
    <font>
      <sz val="11"/>
      <color theme="1"/>
      <name val="Aptos Narrow"/>
      <family val="2"/>
      <scheme val="minor"/>
    </font>
    <font>
      <b/>
      <sz val="14"/>
      <color theme="0"/>
      <name val="Siemens Slab SC"/>
    </font>
    <font>
      <i/>
      <sz val="11"/>
      <name val="Siemens Sans"/>
    </font>
    <font>
      <b/>
      <i/>
      <sz val="12"/>
      <color theme="0"/>
      <name val="Siemens Sans"/>
    </font>
  </fonts>
  <fills count="7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376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14" fontId="1" fillId="2" borderId="0" xfId="0" applyNumberFormat="1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 wrapText="1"/>
    </xf>
    <xf numFmtId="14" fontId="3" fillId="3" borderId="2" xfId="0" applyNumberFormat="1" applyFont="1" applyFill="1" applyBorder="1" applyAlignment="1">
      <alignment horizontal="center" vertical="center" wrapText="1"/>
    </xf>
    <xf numFmtId="1" fontId="3" fillId="3" borderId="2" xfId="0" applyNumberFormat="1" applyFont="1" applyFill="1" applyBorder="1" applyAlignment="1">
      <alignment horizontal="center" vertical="center"/>
    </xf>
    <xf numFmtId="1" fontId="3" fillId="4" borderId="2" xfId="0" applyNumberFormat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left" vertical="center"/>
    </xf>
    <xf numFmtId="1" fontId="2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164" fontId="2" fillId="0" borderId="3" xfId="0" applyNumberFormat="1" applyFont="1" applyBorder="1" applyAlignment="1">
      <alignment horizontal="left" vertical="top" wrapText="1"/>
    </xf>
    <xf numFmtId="164" fontId="2" fillId="0" borderId="2" xfId="0" applyNumberFormat="1" applyFont="1" applyBorder="1" applyAlignment="1">
      <alignment horizontal="left" vertical="top" wrapText="1"/>
    </xf>
    <xf numFmtId="1" fontId="2" fillId="0" borderId="3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left" vertical="center"/>
    </xf>
    <xf numFmtId="0" fontId="0" fillId="0" borderId="0" xfId="0" applyAlignment="1">
      <alignment wrapText="1"/>
    </xf>
    <xf numFmtId="14" fontId="0" fillId="0" borderId="0" xfId="0" applyNumberFormat="1"/>
    <xf numFmtId="14" fontId="3" fillId="3" borderId="2" xfId="0" quotePrefix="1" applyNumberFormat="1" applyFont="1" applyFill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left" vertical="center"/>
    </xf>
    <xf numFmtId="14" fontId="2" fillId="0" borderId="3" xfId="0" applyNumberFormat="1" applyFont="1" applyBorder="1" applyAlignment="1">
      <alignment horizontal="center" vertical="center" wrapText="1"/>
    </xf>
    <xf numFmtId="165" fontId="2" fillId="0" borderId="3" xfId="0" applyNumberFormat="1" applyFont="1" applyBorder="1" applyAlignment="1">
      <alignment horizontal="left" vertical="center"/>
    </xf>
    <xf numFmtId="14" fontId="0" fillId="0" borderId="0" xfId="0" applyNumberFormat="1" applyAlignment="1">
      <alignment horizontal="center"/>
    </xf>
    <xf numFmtId="4" fontId="2" fillId="0" borderId="3" xfId="0" applyNumberFormat="1" applyFont="1" applyBorder="1" applyAlignment="1">
      <alignment horizontal="center" vertical="center" wrapText="1"/>
    </xf>
    <xf numFmtId="14" fontId="1" fillId="2" borderId="0" xfId="0" applyNumberFormat="1" applyFont="1" applyFill="1" applyAlignment="1">
      <alignment horizontal="center" vertical="center"/>
    </xf>
    <xf numFmtId="14" fontId="2" fillId="0" borderId="2" xfId="0" applyNumberFormat="1" applyFont="1" applyFill="1" applyBorder="1" applyAlignment="1">
      <alignment horizontal="center" vertical="center" wrapText="1"/>
    </xf>
    <xf numFmtId="165" fontId="2" fillId="0" borderId="2" xfId="0" applyNumberFormat="1" applyFont="1" applyFill="1" applyBorder="1" applyAlignment="1">
      <alignment horizontal="left" vertical="center"/>
    </xf>
    <xf numFmtId="1" fontId="2" fillId="0" borderId="2" xfId="0" applyNumberFormat="1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3" xfId="0" applyNumberFormat="1" applyFont="1" applyBorder="1" applyAlignment="1">
      <alignment horizontal="center" vertical="center" wrapText="1"/>
    </xf>
    <xf numFmtId="0" fontId="2" fillId="0" borderId="3" xfId="0" applyNumberFormat="1" applyFont="1" applyBorder="1" applyAlignment="1">
      <alignment horizontal="left" vertical="center"/>
    </xf>
    <xf numFmtId="0" fontId="2" fillId="0" borderId="3" xfId="0" applyNumberFormat="1" applyFont="1" applyFill="1" applyBorder="1" applyAlignment="1">
      <alignment horizontal="center" vertical="center" wrapText="1"/>
    </xf>
    <xf numFmtId="14" fontId="2" fillId="0" borderId="3" xfId="0" applyNumberFormat="1" applyFont="1" applyFill="1" applyBorder="1" applyAlignment="1">
      <alignment horizontal="center" vertical="center" wrapText="1"/>
    </xf>
    <xf numFmtId="165" fontId="2" fillId="0" borderId="3" xfId="0" applyNumberFormat="1" applyFont="1" applyFill="1" applyBorder="1" applyAlignment="1">
      <alignment horizontal="left" vertical="center"/>
    </xf>
    <xf numFmtId="164" fontId="2" fillId="0" borderId="3" xfId="0" applyNumberFormat="1" applyFont="1" applyFill="1" applyBorder="1" applyAlignment="1">
      <alignment horizontal="left" vertical="top" wrapText="1"/>
    </xf>
    <xf numFmtId="1" fontId="2" fillId="0" borderId="3" xfId="0" applyNumberFormat="1" applyFont="1" applyFill="1" applyBorder="1" applyAlignment="1">
      <alignment horizontal="left" vertical="center"/>
    </xf>
    <xf numFmtId="1" fontId="2" fillId="0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68">
    <dxf>
      <fill>
        <gradientFill degree="90">
          <stop position="0">
            <color theme="0"/>
          </stop>
          <stop position="1">
            <color rgb="FFEBF3FB"/>
          </stop>
        </gradientFill>
      </fill>
    </dxf>
    <dxf>
      <fill>
        <gradientFill degree="90">
          <stop position="0">
            <color theme="0"/>
          </stop>
          <stop position="1">
            <color rgb="FFEBF3FB"/>
          </stop>
        </gradientFill>
      </fill>
    </dxf>
    <dxf>
      <fill>
        <gradientFill degree="90">
          <stop position="0">
            <color theme="0"/>
          </stop>
          <stop position="1">
            <color rgb="FFEBF3FB"/>
          </stop>
        </gradientFill>
      </fill>
    </dxf>
    <dxf>
      <fill>
        <gradientFill degree="90">
          <stop position="0">
            <color theme="0"/>
          </stop>
          <stop position="1">
            <color rgb="FFEBF3FB"/>
          </stop>
        </gradientFill>
      </fill>
    </dxf>
    <dxf>
      <font>
        <color theme="9" tint="-0.499984740745262"/>
      </font>
      <fill>
        <gradientFill degree="90">
          <stop position="0">
            <color theme="0"/>
          </stop>
          <stop position="1">
            <color rgb="FFEFFBF1"/>
          </stop>
        </gradientFill>
      </fill>
    </dxf>
    <dxf>
      <font>
        <color auto="1"/>
      </font>
      <fill>
        <gradientFill degree="90">
          <stop position="0">
            <color theme="0"/>
          </stop>
          <stop position="1">
            <color theme="0" tint="-5.0965910824915313E-2"/>
          </stop>
        </gradientFill>
      </fill>
    </dxf>
    <dxf>
      <font>
        <color rgb="FFC00000"/>
      </font>
      <fill>
        <gradientFill degree="90">
          <stop position="0">
            <color theme="0"/>
          </stop>
          <stop position="1">
            <color rgb="FFFFEBEB"/>
          </stop>
        </gradientFill>
      </fill>
    </dxf>
    <dxf>
      <font>
        <color theme="9" tint="-0.499984740745262"/>
      </font>
      <fill>
        <gradientFill degree="90">
          <stop position="0">
            <color theme="0"/>
          </stop>
          <stop position="1">
            <color rgb="FFEFFBF1"/>
          </stop>
        </gradientFill>
      </fill>
    </dxf>
    <dxf>
      <font>
        <color rgb="FFC00000"/>
      </font>
      <fill>
        <gradientFill degree="90">
          <stop position="0">
            <color theme="0"/>
          </stop>
          <stop position="1">
            <color rgb="FFFFEBEB"/>
          </stop>
        </gradientFill>
      </fill>
    </dxf>
    <dxf>
      <font>
        <color auto="1"/>
      </font>
      <fill>
        <gradientFill degree="90">
          <stop position="0">
            <color theme="0"/>
          </stop>
          <stop position="1">
            <color theme="0" tint="-5.0965910824915313E-2"/>
          </stop>
        </gradientFill>
      </fill>
    </dxf>
    <dxf>
      <font>
        <color auto="1"/>
      </font>
      <fill>
        <gradientFill degree="90">
          <stop position="0">
            <color theme="0"/>
          </stop>
          <stop position="1">
            <color theme="0" tint="-5.0965910824915313E-2"/>
          </stop>
        </gradientFill>
      </fill>
    </dxf>
    <dxf>
      <font>
        <color theme="9" tint="-0.499984740745262"/>
      </font>
      <fill>
        <gradientFill degree="90">
          <stop position="0">
            <color theme="0"/>
          </stop>
          <stop position="1">
            <color rgb="FFEFFBF1"/>
          </stop>
        </gradientFill>
      </fill>
    </dxf>
    <dxf>
      <fill>
        <gradientFill degree="90">
          <stop position="0">
            <color theme="0"/>
          </stop>
          <stop position="1">
            <color rgb="FFFAECF9"/>
          </stop>
        </gradientFill>
      </fill>
    </dxf>
    <dxf>
      <font>
        <color rgb="FFC00000"/>
      </font>
      <fill>
        <gradientFill degree="90">
          <stop position="0">
            <color theme="0"/>
          </stop>
          <stop position="1">
            <color rgb="FFFFEBEB"/>
          </stop>
        </gradientFill>
      </fill>
    </dxf>
    <dxf>
      <font>
        <color auto="1"/>
      </font>
      <fill>
        <gradientFill degree="90">
          <stop position="0">
            <color theme="0"/>
          </stop>
          <stop position="1">
            <color theme="0" tint="-5.0965910824915313E-2"/>
          </stop>
        </gradientFill>
      </fill>
    </dxf>
    <dxf>
      <font>
        <color theme="9" tint="-0.499984740745262"/>
      </font>
      <fill>
        <gradientFill degree="90">
          <stop position="0">
            <color theme="0"/>
          </stop>
          <stop position="1">
            <color rgb="FFEFFBF1"/>
          </stop>
        </gradientFill>
      </fill>
    </dxf>
    <dxf>
      <font>
        <color rgb="FFC00000"/>
      </font>
      <fill>
        <gradientFill degree="90">
          <stop position="0">
            <color theme="0"/>
          </stop>
          <stop position="1">
            <color rgb="FFFFEBEB"/>
          </stop>
        </gradientFill>
      </fill>
    </dxf>
    <dxf>
      <fill>
        <gradientFill degree="90">
          <stop position="0">
            <color theme="0"/>
          </stop>
          <stop position="1">
            <color rgb="FFFAECF9"/>
          </stop>
        </gradientFill>
      </fill>
    </dxf>
    <dxf>
      <font>
        <color auto="1"/>
      </font>
      <fill>
        <gradientFill degree="90">
          <stop position="0">
            <color theme="0"/>
          </stop>
          <stop position="1">
            <color theme="0" tint="-5.0965910824915313E-2"/>
          </stop>
        </gradientFill>
      </fill>
    </dxf>
    <dxf>
      <fill>
        <gradientFill degree="90">
          <stop position="0">
            <color theme="0"/>
          </stop>
          <stop position="1">
            <color rgb="FFFAECF9"/>
          </stop>
        </gradientFill>
      </fill>
    </dxf>
    <dxf>
      <font>
        <color rgb="FFC00000"/>
      </font>
      <fill>
        <gradientFill degree="90">
          <stop position="0">
            <color theme="0"/>
          </stop>
          <stop position="1">
            <color rgb="FFFFEBEB"/>
          </stop>
        </gradientFill>
      </fill>
    </dxf>
    <dxf>
      <font>
        <color theme="9" tint="-0.499984740745262"/>
      </font>
      <fill>
        <gradientFill degree="90">
          <stop position="0">
            <color theme="0"/>
          </stop>
          <stop position="1">
            <color rgb="FFEFFBF1"/>
          </stop>
        </gradientFill>
      </fill>
    </dxf>
    <dxf>
      <fill>
        <gradientFill degree="90">
          <stop position="0">
            <color theme="0"/>
          </stop>
          <stop position="1">
            <color rgb="FFFAECF9"/>
          </stop>
        </gradientFill>
      </fill>
    </dxf>
    <dxf>
      <font>
        <color rgb="FFC00000"/>
      </font>
      <fill>
        <gradientFill degree="90">
          <stop position="0">
            <color theme="0"/>
          </stop>
          <stop position="1">
            <color rgb="FFFFEBEB"/>
          </stop>
        </gradientFill>
      </fill>
    </dxf>
    <dxf>
      <font>
        <color theme="9" tint="-0.499984740745262"/>
      </font>
      <fill>
        <gradientFill degree="90">
          <stop position="0">
            <color theme="0"/>
          </stop>
          <stop position="1">
            <color rgb="FFEFFBF1"/>
          </stop>
        </gradientFill>
      </fill>
    </dxf>
    <dxf>
      <font>
        <color auto="1"/>
      </font>
      <fill>
        <gradientFill degree="90">
          <stop position="0">
            <color theme="0"/>
          </stop>
          <stop position="1">
            <color theme="0" tint="-5.0965910824915313E-2"/>
          </stop>
        </gradientFill>
      </fill>
    </dxf>
    <dxf>
      <font>
        <color rgb="FFC00000"/>
      </font>
      <fill>
        <gradientFill degree="90">
          <stop position="0">
            <color theme="0"/>
          </stop>
          <stop position="1">
            <color rgb="FFFFEBEB"/>
          </stop>
        </gradientFill>
      </fill>
    </dxf>
    <dxf>
      <font>
        <color theme="9" tint="-0.499984740745262"/>
      </font>
      <fill>
        <gradientFill degree="90">
          <stop position="0">
            <color theme="0"/>
          </stop>
          <stop position="1">
            <color rgb="FFEFFBF1"/>
          </stop>
        </gradientFill>
      </fill>
    </dxf>
    <dxf>
      <font>
        <color auto="1"/>
      </font>
      <fill>
        <gradientFill degree="90">
          <stop position="0">
            <color theme="0"/>
          </stop>
          <stop position="1">
            <color theme="0" tint="-5.0965910824915313E-2"/>
          </stop>
        </gradientFill>
      </fill>
    </dxf>
    <dxf>
      <font>
        <color auto="1"/>
      </font>
      <fill>
        <gradientFill degree="90">
          <stop position="0">
            <color theme="0"/>
          </stop>
          <stop position="1">
            <color theme="0" tint="-5.0965910824915313E-2"/>
          </stop>
        </gradientFill>
      </fill>
    </dxf>
    <dxf>
      <font>
        <color theme="9" tint="-0.499984740745262"/>
      </font>
      <fill>
        <gradientFill degree="90">
          <stop position="0">
            <color theme="0"/>
          </stop>
          <stop position="1">
            <color rgb="FFEFFBF1"/>
          </stop>
        </gradientFill>
      </fill>
    </dxf>
    <dxf>
      <font>
        <color rgb="FFC00000"/>
      </font>
      <fill>
        <gradientFill degree="90">
          <stop position="0">
            <color theme="0"/>
          </stop>
          <stop position="1">
            <color rgb="FFFFEBEB"/>
          </stop>
        </gradientFill>
      </fill>
    </dxf>
    <dxf>
      <fill>
        <gradientFill degree="90">
          <stop position="0">
            <color theme="0"/>
          </stop>
          <stop position="1">
            <color rgb="FFFAECF9"/>
          </stop>
        </gradientFill>
      </fill>
    </dxf>
    <dxf>
      <font>
        <color rgb="FFC00000"/>
      </font>
      <fill>
        <gradientFill degree="90">
          <stop position="0">
            <color theme="0"/>
          </stop>
          <stop position="1">
            <color rgb="FFFFEBEB"/>
          </stop>
        </gradientFill>
      </fill>
    </dxf>
    <dxf>
      <font>
        <color theme="9" tint="-0.499984740745262"/>
      </font>
      <fill>
        <gradientFill degree="90">
          <stop position="0">
            <color theme="0"/>
          </stop>
          <stop position="1">
            <color rgb="FFEFFBF1"/>
          </stop>
        </gradientFill>
      </fill>
    </dxf>
    <dxf>
      <font>
        <color auto="1"/>
      </font>
      <fill>
        <gradientFill degree="90">
          <stop position="0">
            <color theme="0"/>
          </stop>
          <stop position="1">
            <color theme="0" tint="-5.0965910824915313E-2"/>
          </stop>
        </gradientFill>
      </fill>
    </dxf>
    <dxf>
      <fill>
        <gradientFill degree="90">
          <stop position="0">
            <color theme="0"/>
          </stop>
          <stop position="1">
            <color rgb="FFFAECF9"/>
          </stop>
        </gradientFill>
      </fill>
    </dxf>
    <dxf>
      <font>
        <color theme="9" tint="-0.499984740745262"/>
      </font>
      <fill>
        <gradientFill degree="90">
          <stop position="0">
            <color theme="0"/>
          </stop>
          <stop position="1">
            <color rgb="FFEFFBF1"/>
          </stop>
        </gradientFill>
      </fill>
    </dxf>
    <dxf>
      <font>
        <color rgb="FFC00000"/>
      </font>
      <fill>
        <gradientFill degree="90">
          <stop position="0">
            <color theme="0"/>
          </stop>
          <stop position="1">
            <color rgb="FFFFEBEB"/>
          </stop>
        </gradientFill>
      </fill>
    </dxf>
    <dxf>
      <font>
        <color auto="1"/>
      </font>
      <fill>
        <gradientFill degree="90">
          <stop position="0">
            <color theme="0"/>
          </stop>
          <stop position="1">
            <color theme="0" tint="-5.0965910824915313E-2"/>
          </stop>
        </gradientFill>
      </fill>
    </dxf>
    <dxf>
      <font>
        <color auto="1"/>
      </font>
      <fill>
        <gradientFill degree="90">
          <stop position="0">
            <color theme="0"/>
          </stop>
          <stop position="1">
            <color theme="0" tint="-5.0965910824915313E-2"/>
          </stop>
        </gradientFill>
      </fill>
    </dxf>
    <dxf>
      <font>
        <color rgb="FFC00000"/>
      </font>
      <fill>
        <gradientFill degree="90">
          <stop position="0">
            <color theme="0"/>
          </stop>
          <stop position="1">
            <color rgb="FFFFEBEB"/>
          </stop>
        </gradientFill>
      </fill>
    </dxf>
    <dxf>
      <font>
        <color theme="9" tint="-0.499984740745262"/>
      </font>
      <fill>
        <gradientFill degree="90">
          <stop position="0">
            <color theme="0"/>
          </stop>
          <stop position="1">
            <color rgb="FFEFFBF1"/>
          </stop>
        </gradientFill>
      </fill>
    </dxf>
    <dxf>
      <font>
        <color theme="9" tint="-0.499984740745262"/>
      </font>
      <fill>
        <gradientFill degree="90">
          <stop position="0">
            <color theme="0"/>
          </stop>
          <stop position="1">
            <color rgb="FFEFFBF1"/>
          </stop>
        </gradientFill>
      </fill>
    </dxf>
    <dxf>
      <font>
        <color auto="1"/>
      </font>
      <fill>
        <gradientFill degree="90">
          <stop position="0">
            <color theme="0"/>
          </stop>
          <stop position="1">
            <color theme="0" tint="-5.0965910824915313E-2"/>
          </stop>
        </gradientFill>
      </fill>
    </dxf>
    <dxf>
      <font>
        <color rgb="FFC00000"/>
      </font>
      <fill>
        <gradientFill degree="90">
          <stop position="0">
            <color theme="0"/>
          </stop>
          <stop position="1">
            <color rgb="FFFFEBEB"/>
          </stop>
        </gradientFill>
      </fill>
    </dxf>
    <dxf>
      <fill>
        <gradientFill degree="90">
          <stop position="0">
            <color theme="0"/>
          </stop>
          <stop position="1">
            <color rgb="FFFAECF9"/>
          </stop>
        </gradientFill>
      </fill>
    </dxf>
    <dxf>
      <fill>
        <gradientFill degree="90">
          <stop position="0">
            <color theme="0"/>
          </stop>
          <stop position="1">
            <color rgb="FFFEF5DA"/>
          </stop>
        </gradientFill>
      </fill>
    </dxf>
    <dxf>
      <fill>
        <gradientFill degree="90">
          <stop position="0">
            <color theme="0"/>
          </stop>
          <stop position="1">
            <color rgb="FFFEF5DA"/>
          </stop>
        </gradientFill>
      </fill>
    </dxf>
    <dxf>
      <fill>
        <gradientFill degree="90">
          <stop position="0">
            <color theme="0"/>
          </stop>
          <stop position="1">
            <color rgb="FFFEF5DA"/>
          </stop>
        </gradientFill>
      </fill>
    </dxf>
    <dxf>
      <fill>
        <gradientFill degree="90">
          <stop position="0">
            <color theme="0"/>
          </stop>
          <stop position="1">
            <color rgb="FFEBF3FB"/>
          </stop>
        </gradientFill>
      </fill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auto="1"/>
        <name val="Siemens Sans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auto="1"/>
        <name val="Siemens Sans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auto="1"/>
        <name val="Siemens Sans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auto="1"/>
        <name val="Siemens San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auto="1"/>
        <name val="Siemens Sans"/>
        <scheme val="none"/>
      </font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auto="1"/>
        <name val="Siemens Sans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auto="1"/>
        <name val="Siemens San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/>
        <strike val="0"/>
        <outline val="0"/>
        <shadow val="0"/>
        <u val="none"/>
        <vertAlign val="baseline"/>
        <sz val="11"/>
        <color auto="1"/>
        <name val="Siemens Sans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auto="1"/>
        <name val="Siemens Sans"/>
        <scheme val="none"/>
      </font>
      <numFmt numFmtId="1" formatCode="0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/>
        <strike val="0"/>
        <outline val="0"/>
        <shadow val="0"/>
        <u val="none"/>
        <vertAlign val="baseline"/>
        <sz val="11"/>
        <color auto="1"/>
        <name val="Siemens Sans"/>
        <scheme val="none"/>
      </font>
      <numFmt numFmtId="164" formatCode="&quot;Cotação-&quot;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auto="1"/>
        <name val="Siemens Sans"/>
        <scheme val="none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/>
        <strike val="0"/>
        <outline val="0"/>
        <shadow val="0"/>
        <u val="none"/>
        <vertAlign val="baseline"/>
        <sz val="11"/>
        <color auto="1"/>
        <name val="Siemens Sans"/>
        <scheme val="none"/>
      </font>
      <numFmt numFmtId="165" formatCode="m/d/yyyy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/>
        <strike val="0"/>
        <outline val="0"/>
        <shadow val="0"/>
        <u val="none"/>
        <vertAlign val="baseline"/>
        <sz val="11"/>
        <color auto="1"/>
        <name val="Siemens Sans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border outline="0">
        <top style="thin">
          <color auto="1"/>
        </top>
      </border>
    </dxf>
    <dxf>
      <font>
        <b val="0"/>
        <i/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</dxf>
    <dxf>
      <border outline="0"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Table Style 1" pivot="0" count="1" xr9:uid="{FACBFEB2-497A-44CE-885B-1C3836281EDD}">
      <tableStyleElement type="wholeTable" dxfId="6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496891</xdr:colOff>
      <xdr:row>0</xdr:row>
      <xdr:rowOff>46182</xdr:rowOff>
    </xdr:from>
    <xdr:to>
      <xdr:col>13</xdr:col>
      <xdr:colOff>438988</xdr:colOff>
      <xdr:row>2</xdr:row>
      <xdr:rowOff>41812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8F5D91-C2B5-4AD1-8AFF-FC883BD37B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8571" t="14285" r="7619" b="30000"/>
        <a:stretch>
          <a:fillRect/>
        </a:stretch>
      </xdr:blipFill>
      <xdr:spPr>
        <a:xfrm>
          <a:off x="24414166" y="48087"/>
          <a:ext cx="701632" cy="355675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0</xdr:row>
      <xdr:rowOff>142875</xdr:rowOff>
    </xdr:from>
    <xdr:to>
      <xdr:col>2</xdr:col>
      <xdr:colOff>17929</xdr:colOff>
      <xdr:row>1</xdr:row>
      <xdr:rowOff>168210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4D6D72-7EAF-4CEE-972A-AB885A49AA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00" y="140970"/>
          <a:ext cx="1202839" cy="2005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iemensenergyag-my.sharepoint.com/personal/victor_romao_siemens-energy_com1/Documents/CALADIS/Requisi&#231;&#245;es/CONTROLE%20DE%20REQUISI&#199;&#213;ES%20Victor%20rev01.xlsx" TargetMode="External"/><Relationship Id="rId1" Type="http://schemas.openxmlformats.org/officeDocument/2006/relationships/externalLinkPath" Target="https://siemensenergyag-my.sharepoint.com/personal/victor_romao_siemens-energy_com1/Documents/CALADIS/Requisi&#231;&#245;es/CONTROLE%20DE%20REQUISI&#199;&#213;ES%20Victor%20rev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OLE DE REQUISIÇÕES"/>
      <sheetName val="BASE DE VIM's-NF's"/>
    </sheetNames>
    <sheetDataSet>
      <sheetData sheetId="0"/>
      <sheetData sheetId="1">
        <row r="1">
          <cell r="A1" t="str">
            <v>STATUS</v>
          </cell>
          <cell r="F1" t="str">
            <v>ID do documento</v>
          </cell>
          <cell r="G1" t="str">
            <v>Nome do fornecedor</v>
          </cell>
          <cell r="I1" t="str">
            <v>Documento de compras</v>
          </cell>
          <cell r="L1" t="str">
            <v>Referência</v>
          </cell>
          <cell r="R1" t="str">
            <v>Coluna1</v>
          </cell>
        </row>
        <row r="2">
          <cell r="A2" t="str">
            <v xml:space="preserve"> ()</v>
          </cell>
          <cell r="F2">
            <v>2995775</v>
          </cell>
          <cell r="G2" t="str">
            <v>USINAGEM PAULISTA LTDA.</v>
          </cell>
          <cell r="I2">
            <v>4501730025</v>
          </cell>
          <cell r="L2" t="str">
            <v>000000462-9</v>
          </cell>
          <cell r="R2" t="str">
            <v>11,951.00</v>
          </cell>
        </row>
        <row r="3">
          <cell r="A3" t="str">
            <v xml:space="preserve"> ()</v>
          </cell>
          <cell r="F3">
            <v>2995745</v>
          </cell>
          <cell r="G3" t="str">
            <v>TIAGO DE BROI EIRELI EPP.</v>
          </cell>
          <cell r="I3">
            <v>4501734952</v>
          </cell>
          <cell r="L3" t="str">
            <v>000137874-1</v>
          </cell>
          <cell r="R3" t="str">
            <v>1,467.01</v>
          </cell>
        </row>
        <row r="4">
          <cell r="A4" t="str">
            <v xml:space="preserve"> ()</v>
          </cell>
          <cell r="F4">
            <v>2994677</v>
          </cell>
          <cell r="G4" t="str">
            <v>ANHANGUERA COMERCIO DE</v>
          </cell>
          <cell r="I4">
            <v>4501735412</v>
          </cell>
          <cell r="L4" t="str">
            <v>001585658-3</v>
          </cell>
          <cell r="R4" t="str">
            <v>2,402.89</v>
          </cell>
        </row>
        <row r="5">
          <cell r="A5" t="str">
            <v xml:space="preserve"> ()</v>
          </cell>
          <cell r="F5">
            <v>2992038</v>
          </cell>
          <cell r="G5" t="str">
            <v>TIAGO DE BROI EIRELI EPP.</v>
          </cell>
          <cell r="I5">
            <v>4501732662</v>
          </cell>
          <cell r="L5" t="str">
            <v>000137305-1</v>
          </cell>
          <cell r="R5" t="str">
            <v>7,189.50</v>
          </cell>
        </row>
        <row r="6">
          <cell r="A6" t="str">
            <v xml:space="preserve"> ()</v>
          </cell>
          <cell r="F6">
            <v>2994146</v>
          </cell>
          <cell r="G6" t="str">
            <v>ANHANGUERA COMERCIO DE</v>
          </cell>
          <cell r="I6">
            <v>4501734797</v>
          </cell>
          <cell r="L6" t="str">
            <v>001584888-3</v>
          </cell>
          <cell r="R6" t="str">
            <v>302.44</v>
          </cell>
        </row>
        <row r="7">
          <cell r="A7" t="str">
            <v xml:space="preserve"> ()</v>
          </cell>
          <cell r="F7">
            <v>2993920</v>
          </cell>
          <cell r="G7" t="str">
            <v>AUTOMASAFETY CONSULTORIA IND. E</v>
          </cell>
          <cell r="I7">
            <v>4501708628</v>
          </cell>
          <cell r="L7" t="str">
            <v>000010140-1</v>
          </cell>
          <cell r="R7" t="str">
            <v>132,011.20</v>
          </cell>
        </row>
        <row r="8">
          <cell r="A8" t="str">
            <v xml:space="preserve"> ()</v>
          </cell>
          <cell r="F8">
            <v>2993569</v>
          </cell>
          <cell r="G8" t="str">
            <v>TIAGO DE BROI EIRELI EPP.</v>
          </cell>
          <cell r="I8">
            <v>4501733636</v>
          </cell>
          <cell r="L8" t="str">
            <v>000137541-1</v>
          </cell>
          <cell r="R8" t="str">
            <v>876.80</v>
          </cell>
        </row>
        <row r="9">
          <cell r="A9" t="str">
            <v xml:space="preserve"> ()</v>
          </cell>
          <cell r="F9">
            <v>2992738</v>
          </cell>
          <cell r="G9" t="str">
            <v>TIAGO DE BROI EIRELI EPP.</v>
          </cell>
          <cell r="I9">
            <v>4501733867</v>
          </cell>
          <cell r="L9" t="str">
            <v>000137413-1</v>
          </cell>
          <cell r="R9" t="str">
            <v>2,195.00</v>
          </cell>
        </row>
        <row r="10">
          <cell r="A10" t="str">
            <v xml:space="preserve"> ()</v>
          </cell>
          <cell r="F10">
            <v>2991369</v>
          </cell>
          <cell r="G10" t="str">
            <v>TIAGO DE BROI EIRELI EPP.</v>
          </cell>
          <cell r="I10">
            <v>4501733619</v>
          </cell>
          <cell r="L10" t="str">
            <v>000136907-1</v>
          </cell>
          <cell r="R10" t="str">
            <v>1,893.20</v>
          </cell>
        </row>
        <row r="11">
          <cell r="A11" t="str">
            <v xml:space="preserve"> ()</v>
          </cell>
          <cell r="F11">
            <v>2991368</v>
          </cell>
          <cell r="G11" t="str">
            <v>TIAGO DE BROI EIRELI EPP.</v>
          </cell>
          <cell r="I11">
            <v>4501732485</v>
          </cell>
          <cell r="L11" t="str">
            <v>000136741-1</v>
          </cell>
          <cell r="R11" t="str">
            <v>1,181.78</v>
          </cell>
        </row>
        <row r="12">
          <cell r="A12" t="str">
            <v xml:space="preserve"> ()</v>
          </cell>
          <cell r="F12">
            <v>2989889</v>
          </cell>
          <cell r="G12" t="str">
            <v>ANHANGUERA COMERCIO DE</v>
          </cell>
          <cell r="I12">
            <v>4501733622</v>
          </cell>
          <cell r="L12" t="str">
            <v>001571280-3</v>
          </cell>
          <cell r="R12" t="str">
            <v>2,304.32</v>
          </cell>
        </row>
        <row r="13">
          <cell r="A13" t="str">
            <v xml:space="preserve"> ()</v>
          </cell>
          <cell r="F13">
            <v>2990814</v>
          </cell>
          <cell r="G13" t="str">
            <v>RZR - BOMBAS POSITIVAS LTDA. EPP.</v>
          </cell>
          <cell r="I13">
            <v>4501730163</v>
          </cell>
          <cell r="L13" t="str">
            <v>000007070-0</v>
          </cell>
          <cell r="R13" t="str">
            <v>18,795.00</v>
          </cell>
        </row>
        <row r="14">
          <cell r="A14" t="str">
            <v xml:space="preserve"> ()</v>
          </cell>
          <cell r="F14">
            <v>2990813</v>
          </cell>
          <cell r="G14" t="str">
            <v>RZR - BOMBAS POSITIVAS LTDA. EPP.</v>
          </cell>
          <cell r="I14">
            <v>4501730072</v>
          </cell>
          <cell r="L14" t="str">
            <v>000007071-0</v>
          </cell>
          <cell r="R14" t="str">
            <v>39,510.00</v>
          </cell>
        </row>
        <row r="15">
          <cell r="A15" t="str">
            <v xml:space="preserve"> ()</v>
          </cell>
          <cell r="F15">
            <v>2986447</v>
          </cell>
          <cell r="G15" t="str">
            <v>TIAGO DE BROI EIRELI EPP.</v>
          </cell>
          <cell r="I15">
            <v>4501732473</v>
          </cell>
          <cell r="L15" t="str">
            <v>000136560-1</v>
          </cell>
          <cell r="R15" t="str">
            <v>1,570.96</v>
          </cell>
        </row>
        <row r="16">
          <cell r="A16" t="str">
            <v xml:space="preserve"> ()</v>
          </cell>
          <cell r="F16">
            <v>2985551</v>
          </cell>
          <cell r="G16" t="str">
            <v>ANHANGUERA COMERCIO DE</v>
          </cell>
          <cell r="I16">
            <v>4501732642</v>
          </cell>
          <cell r="L16" t="str">
            <v>001567713-3</v>
          </cell>
          <cell r="R16" t="str">
            <v>4,088.39</v>
          </cell>
        </row>
        <row r="17">
          <cell r="A17" t="str">
            <v xml:space="preserve"> ()</v>
          </cell>
          <cell r="F17">
            <v>2984711</v>
          </cell>
          <cell r="G17" t="str">
            <v>NILKO TECNOLOGIA LTDA.</v>
          </cell>
          <cell r="I17">
            <v>4501730537</v>
          </cell>
          <cell r="L17" t="str">
            <v>000353458-1</v>
          </cell>
          <cell r="R17" t="str">
            <v>19,725.91</v>
          </cell>
        </row>
        <row r="18">
          <cell r="A18" t="str">
            <v xml:space="preserve"> ()</v>
          </cell>
          <cell r="F18">
            <v>2985041</v>
          </cell>
          <cell r="G18" t="str">
            <v>INSTRUCAMP INSTRUMENTOS DE</v>
          </cell>
          <cell r="I18">
            <v>4501726231</v>
          </cell>
          <cell r="L18" t="str">
            <v>000059776-1</v>
          </cell>
          <cell r="R18" t="str">
            <v>50,000.00</v>
          </cell>
        </row>
        <row r="19">
          <cell r="A19" t="str">
            <v xml:space="preserve"> ()</v>
          </cell>
          <cell r="F19">
            <v>2984617</v>
          </cell>
          <cell r="G19" t="str">
            <v>PLENA COMERCIAL ELETRICA LTDA.</v>
          </cell>
          <cell r="I19">
            <v>4501726223</v>
          </cell>
          <cell r="L19" t="str">
            <v>000022381-1</v>
          </cell>
          <cell r="R19" t="str">
            <v>12,931.50</v>
          </cell>
        </row>
        <row r="20">
          <cell r="A20" t="str">
            <v xml:space="preserve"> ()</v>
          </cell>
          <cell r="F20">
            <v>2978719</v>
          </cell>
          <cell r="G20" t="str">
            <v>ROVAMEC USINAGEM LTDA. EPP.</v>
          </cell>
          <cell r="I20">
            <v>4501730375</v>
          </cell>
          <cell r="L20" t="str">
            <v>000007345-1</v>
          </cell>
          <cell r="R20" t="str">
            <v>3,560.00</v>
          </cell>
        </row>
        <row r="21">
          <cell r="A21" t="str">
            <v xml:space="preserve"> ()</v>
          </cell>
          <cell r="F21">
            <v>2979756</v>
          </cell>
          <cell r="G21" t="str">
            <v>TIAGO DE BROI EIRELI EPP.</v>
          </cell>
          <cell r="I21">
            <v>4501729976</v>
          </cell>
          <cell r="L21" t="str">
            <v>000135550-1</v>
          </cell>
          <cell r="R21" t="str">
            <v>1,250.05</v>
          </cell>
        </row>
        <row r="22">
          <cell r="A22" t="str">
            <v xml:space="preserve"> ()</v>
          </cell>
          <cell r="F22">
            <v>2980239</v>
          </cell>
          <cell r="G22" t="str">
            <v>TIAGO DE BROI EIRELI EPP.</v>
          </cell>
          <cell r="I22">
            <v>4501730451</v>
          </cell>
          <cell r="L22" t="str">
            <v>000135641-1</v>
          </cell>
          <cell r="R22" t="str">
            <v>1,712.41</v>
          </cell>
        </row>
        <row r="23">
          <cell r="A23" t="str">
            <v xml:space="preserve"> ()</v>
          </cell>
          <cell r="F23">
            <v>2979407</v>
          </cell>
          <cell r="G23" t="str">
            <v>TIAGO DE BROI EIRELI EPP.</v>
          </cell>
          <cell r="I23">
            <v>4501729379</v>
          </cell>
          <cell r="L23" t="str">
            <v>000135478-1</v>
          </cell>
          <cell r="R23" t="str">
            <v>1,250.05</v>
          </cell>
        </row>
        <row r="24">
          <cell r="A24" t="str">
            <v xml:space="preserve"> ()</v>
          </cell>
          <cell r="F24">
            <v>2979100</v>
          </cell>
          <cell r="G24" t="str">
            <v>ROVAMEC USINAGEM LTDA. EPP.</v>
          </cell>
          <cell r="I24">
            <v>4501725873</v>
          </cell>
          <cell r="L24" t="str">
            <v>000007348-1</v>
          </cell>
          <cell r="R24" t="str">
            <v>5,445.00</v>
          </cell>
        </row>
        <row r="25">
          <cell r="A25" t="str">
            <v xml:space="preserve"> ()</v>
          </cell>
          <cell r="F25">
            <v>2979420</v>
          </cell>
          <cell r="G25" t="str">
            <v>PLENA COMERCIAL ELETRICA LTDA.</v>
          </cell>
          <cell r="I25">
            <v>4501723100</v>
          </cell>
          <cell r="L25" t="str">
            <v>000022277-1</v>
          </cell>
          <cell r="R25" t="str">
            <v>4,720.00</v>
          </cell>
        </row>
        <row r="26">
          <cell r="A26" t="str">
            <v xml:space="preserve"> ()</v>
          </cell>
          <cell r="F26">
            <v>2963473</v>
          </cell>
          <cell r="G26" t="str">
            <v>DCSPRO - AUTOMACAO PROJETOS E</v>
          </cell>
          <cell r="I26">
            <v>4501723288</v>
          </cell>
          <cell r="L26" t="str">
            <v>000000398-9</v>
          </cell>
          <cell r="R26" t="str">
            <v>850.00</v>
          </cell>
        </row>
        <row r="27">
          <cell r="A27" t="str">
            <v xml:space="preserve"> ()</v>
          </cell>
          <cell r="F27">
            <v>2962348</v>
          </cell>
          <cell r="G27" t="str">
            <v>DCSPRO - AUTOMACAO PROJETOS E</v>
          </cell>
          <cell r="I27">
            <v>4501718745</v>
          </cell>
          <cell r="L27" t="str">
            <v>000000396-9</v>
          </cell>
          <cell r="R27" t="str">
            <v>7,800.00</v>
          </cell>
        </row>
        <row r="28">
          <cell r="A28" t="str">
            <v xml:space="preserve"> ()</v>
          </cell>
          <cell r="F28">
            <v>2947326</v>
          </cell>
          <cell r="G28" t="str">
            <v>FLOWSISTEM SOLUCOES</v>
          </cell>
          <cell r="I28">
            <v>4501708631</v>
          </cell>
          <cell r="L28" t="str">
            <v>000018404-1</v>
          </cell>
          <cell r="R28" t="str">
            <v>179,352.02</v>
          </cell>
        </row>
        <row r="29">
          <cell r="A29" t="str">
            <v>Aguardando DANFE (PORTARIA)</v>
          </cell>
          <cell r="F29">
            <v>2997379</v>
          </cell>
          <cell r="G29" t="str">
            <v>ANHANGUERA COMERCIO DE</v>
          </cell>
          <cell r="I29">
            <v>4501734289</v>
          </cell>
          <cell r="L29" t="str">
            <v>001590447-3</v>
          </cell>
          <cell r="R29" t="str">
            <v>10,084.67</v>
          </cell>
        </row>
        <row r="30">
          <cell r="A30" t="str">
            <v>Aguardando DANFE (PORTARIA)</v>
          </cell>
          <cell r="F30">
            <v>2997140</v>
          </cell>
          <cell r="G30" t="str">
            <v>ANHANGUERA COMERCIO DE</v>
          </cell>
          <cell r="I30">
            <v>4501732642</v>
          </cell>
          <cell r="L30" t="str">
            <v>001590219-3</v>
          </cell>
          <cell r="R30" t="str">
            <v>72.76</v>
          </cell>
        </row>
        <row r="31">
          <cell r="A31" t="str">
            <v>Faturamento Incorreto (COMPRAS)</v>
          </cell>
          <cell r="F31">
            <v>2997775</v>
          </cell>
          <cell r="G31" t="str">
            <v>CYKLOP DO BRASIL EMBALAGENS SA.</v>
          </cell>
          <cell r="I31">
            <v>4501735260</v>
          </cell>
          <cell r="L31" t="str">
            <v>000503493-2</v>
          </cell>
          <cell r="R31" t="str">
            <v>9,880.00</v>
          </cell>
        </row>
        <row r="32">
          <cell r="A32" t="str">
            <v>Aguardando DANFE (PORTARIA)</v>
          </cell>
          <cell r="F32">
            <v>2997755</v>
          </cell>
          <cell r="G32" t="str">
            <v>ENERGYARC INDUSTRIAL LTDA.</v>
          </cell>
          <cell r="I32">
            <v>4501736417</v>
          </cell>
          <cell r="L32" t="str">
            <v>000081090-1</v>
          </cell>
          <cell r="R32" t="str">
            <v>4,930.00</v>
          </cell>
        </row>
        <row r="33">
          <cell r="A33" t="str">
            <v>Aguardando DANFE (PORTARIA)</v>
          </cell>
          <cell r="F33">
            <v>2996519</v>
          </cell>
          <cell r="G33" t="str">
            <v>TIAGO DE BROI EIRELI EPP.</v>
          </cell>
          <cell r="I33">
            <v>4501732487</v>
          </cell>
          <cell r="L33" t="str">
            <v>000137977-1</v>
          </cell>
          <cell r="R33" t="str">
            <v>1,944.77</v>
          </cell>
        </row>
        <row r="34">
          <cell r="A34" t="str">
            <v>Aguardando DANFE (PORTARIA)</v>
          </cell>
          <cell r="F34">
            <v>2995873</v>
          </cell>
          <cell r="G34" t="str">
            <v>STAHL TALHAS EQUIPAMENTOS DE</v>
          </cell>
          <cell r="I34">
            <v>4501730060</v>
          </cell>
          <cell r="L34" t="str">
            <v>000036125-1</v>
          </cell>
          <cell r="R34" t="str">
            <v>38,000.00</v>
          </cell>
        </row>
        <row r="35">
          <cell r="A35" t="str">
            <v>Aguardando DANFE (PORTARIA)</v>
          </cell>
          <cell r="F35">
            <v>2994237</v>
          </cell>
          <cell r="G35" t="str">
            <v>ANHANGUERA COMERCIO DE</v>
          </cell>
          <cell r="I35">
            <v>4501734790</v>
          </cell>
          <cell r="L35" t="str">
            <v>001584949-3</v>
          </cell>
          <cell r="R35" t="str">
            <v>3,776.01</v>
          </cell>
        </row>
        <row r="36">
          <cell r="A36" t="str">
            <v>Verificar Alíquota de Impostos (PAF_MIGO)</v>
          </cell>
          <cell r="F36">
            <v>2993108</v>
          </cell>
          <cell r="G36" t="str">
            <v>ZAP USINAGEM E CALDEIRARIA</v>
          </cell>
          <cell r="I36">
            <v>4501724347</v>
          </cell>
          <cell r="L36" t="str">
            <v>000003436-1</v>
          </cell>
          <cell r="R36" t="str">
            <v>2,932.98</v>
          </cell>
        </row>
        <row r="37">
          <cell r="A37" t="str">
            <v>Fornecedor incorreto / Não cadastrado (APROVADOR-REQ.)</v>
          </cell>
          <cell r="F37">
            <v>2994365</v>
          </cell>
          <cell r="G37" t="str">
            <v>EPD M EXPORTAÇÃO</v>
          </cell>
          <cell r="I37">
            <v>4501729451</v>
          </cell>
          <cell r="L37" t="str">
            <v>000002983-9</v>
          </cell>
          <cell r="R37" t="str">
            <v>5,540.00</v>
          </cell>
        </row>
        <row r="38">
          <cell r="A38" t="str">
            <v>Aguardando DANFE (PORTARIA)</v>
          </cell>
          <cell r="F38">
            <v>2990028</v>
          </cell>
          <cell r="G38" t="str">
            <v>ZAP USINAGEM E CALDEIRARIA</v>
          </cell>
          <cell r="I38">
            <v>4501731331</v>
          </cell>
          <cell r="L38" t="str">
            <v>000003414-1</v>
          </cell>
          <cell r="R38" t="str">
            <v>7,890.00</v>
          </cell>
        </row>
        <row r="39">
          <cell r="A39" t="str">
            <v>Aguardando DANFE (PORTARIA)</v>
          </cell>
          <cell r="F39">
            <v>2990666</v>
          </cell>
          <cell r="G39" t="str">
            <v>HILTI DO BRASIL COMERCIAL LTDA.</v>
          </cell>
          <cell r="I39">
            <v>4501730088</v>
          </cell>
          <cell r="L39" t="str">
            <v>000050441-1</v>
          </cell>
          <cell r="R39" t="str">
            <v>56,906.99</v>
          </cell>
        </row>
        <row r="40">
          <cell r="A40" t="str">
            <v>Lançado</v>
          </cell>
          <cell r="F40">
            <v>2992781</v>
          </cell>
          <cell r="G40" t="str">
            <v>EDWARDS VACUO LTDA.</v>
          </cell>
          <cell r="I40">
            <v>4501726208</v>
          </cell>
          <cell r="L40" t="str">
            <v>000048218-2</v>
          </cell>
          <cell r="R40" t="str">
            <v>15,162.78</v>
          </cell>
        </row>
        <row r="41">
          <cell r="A41" t="str">
            <v>Lançado</v>
          </cell>
          <cell r="F41">
            <v>2994094</v>
          </cell>
          <cell r="G41" t="str">
            <v>MOTA - USINAGEM E</v>
          </cell>
          <cell r="I41">
            <v>4501730695</v>
          </cell>
          <cell r="L41" t="str">
            <v>000007097-1</v>
          </cell>
          <cell r="R41" t="str">
            <v>24,589.37</v>
          </cell>
        </row>
        <row r="42">
          <cell r="A42" t="str">
            <v>Lançado</v>
          </cell>
          <cell r="F42">
            <v>2992797</v>
          </cell>
          <cell r="G42" t="str">
            <v>OXIGENIO JUNDIAI COML. DE GASES</v>
          </cell>
          <cell r="I42">
            <v>4501734128</v>
          </cell>
          <cell r="L42" t="str">
            <v>000056361-1</v>
          </cell>
          <cell r="R42" t="str">
            <v>1,395.00</v>
          </cell>
        </row>
        <row r="43">
          <cell r="A43" t="str">
            <v>Lançado</v>
          </cell>
          <cell r="F43">
            <v>2990272</v>
          </cell>
          <cell r="G43" t="str">
            <v>LIFTEC BRASIL SUPRIMENTOS</v>
          </cell>
          <cell r="I43">
            <v>4501733865</v>
          </cell>
          <cell r="L43" t="str">
            <v>000020083-2</v>
          </cell>
          <cell r="R43" t="str">
            <v>1,568.07</v>
          </cell>
        </row>
        <row r="44">
          <cell r="A44" t="str">
            <v>Lançado</v>
          </cell>
          <cell r="F44">
            <v>2954028</v>
          </cell>
          <cell r="G44" t="str">
            <v>ZAP USINAGEM E CALDEIRARIA</v>
          </cell>
          <cell r="I44">
            <v>4501721225</v>
          </cell>
          <cell r="L44" t="str">
            <v>000001211-9</v>
          </cell>
          <cell r="R44" t="str">
            <v>6,140.00</v>
          </cell>
        </row>
        <row r="45">
          <cell r="A45" t="str">
            <v>Lançado</v>
          </cell>
          <cell r="F45">
            <v>2990876</v>
          </cell>
          <cell r="G45" t="str">
            <v>WORK PLACE TECNOLOGIA EIRELI</v>
          </cell>
          <cell r="I45">
            <v>4501729644</v>
          </cell>
          <cell r="L45" t="str">
            <v>000018938-1</v>
          </cell>
          <cell r="R45" t="str">
            <v>3,720.00</v>
          </cell>
        </row>
        <row r="46">
          <cell r="A46" t="str">
            <v>Lançado</v>
          </cell>
          <cell r="F46">
            <v>2990027</v>
          </cell>
          <cell r="G46" t="str">
            <v>MOTA - USINAGEM E</v>
          </cell>
          <cell r="I46">
            <v>4501730062</v>
          </cell>
          <cell r="L46" t="str">
            <v>000007092-1</v>
          </cell>
          <cell r="R46" t="str">
            <v>80,296.77</v>
          </cell>
        </row>
        <row r="47">
          <cell r="A47" t="str">
            <v>Lançado</v>
          </cell>
          <cell r="F47">
            <v>2949512</v>
          </cell>
          <cell r="G47" t="str">
            <v>TIAGO DE BROI EIRELI EPP.</v>
          </cell>
          <cell r="I47">
            <v>4501719453</v>
          </cell>
          <cell r="L47" t="str">
            <v>000130276-1</v>
          </cell>
          <cell r="R47" t="str">
            <v>1,991.36</v>
          </cell>
        </row>
        <row r="48">
          <cell r="A48" t="str">
            <v>Lançado</v>
          </cell>
          <cell r="F48">
            <v>2990029</v>
          </cell>
          <cell r="G48" t="str">
            <v>OCTANS SISTEMAS DE AUTOMACAO LTDA.</v>
          </cell>
          <cell r="I48">
            <v>4501729631</v>
          </cell>
          <cell r="L48" t="str">
            <v>000000157-1</v>
          </cell>
          <cell r="R48" t="str">
            <v>2,510.00</v>
          </cell>
        </row>
        <row r="49">
          <cell r="A49" t="str">
            <v>Lançado</v>
          </cell>
          <cell r="F49">
            <v>2962192</v>
          </cell>
          <cell r="G49" t="str">
            <v>TIAGO DE BROI EIRELI EPP.</v>
          </cell>
          <cell r="I49">
            <v>4501704983</v>
          </cell>
          <cell r="L49" t="str">
            <v>000132397-1</v>
          </cell>
          <cell r="R49" t="str">
            <v>4,124.13</v>
          </cell>
        </row>
        <row r="50">
          <cell r="A50" t="str">
            <v>Lançado</v>
          </cell>
          <cell r="F50">
            <v>2985628</v>
          </cell>
          <cell r="G50" t="str">
            <v>ARTPLAN COMERCIAL LTDA.</v>
          </cell>
          <cell r="I50">
            <v>4501723632</v>
          </cell>
          <cell r="L50" t="str">
            <v>000023866-1</v>
          </cell>
          <cell r="R50" t="str">
            <v>708.00</v>
          </cell>
        </row>
        <row r="51">
          <cell r="A51" t="str">
            <v>Lançado</v>
          </cell>
          <cell r="F51">
            <v>2982160</v>
          </cell>
          <cell r="G51" t="str">
            <v>CYKLOP DO BRASIL EMBALAGENS SA.</v>
          </cell>
          <cell r="I51">
            <v>4501729374</v>
          </cell>
          <cell r="L51" t="str">
            <v>000500618-2</v>
          </cell>
          <cell r="R51" t="str">
            <v>1,602.35</v>
          </cell>
        </row>
        <row r="52">
          <cell r="A52" t="str">
            <v>Lançado</v>
          </cell>
          <cell r="F52">
            <v>2983992</v>
          </cell>
          <cell r="G52" t="str">
            <v>JVA COMERCIO E ASSISTENCIA TECNICA</v>
          </cell>
          <cell r="I52">
            <v>4501721989</v>
          </cell>
          <cell r="L52" t="str">
            <v>000000478-9</v>
          </cell>
          <cell r="R52" t="str">
            <v>1,455.60</v>
          </cell>
        </row>
        <row r="53">
          <cell r="A53" t="str">
            <v>Lançado</v>
          </cell>
          <cell r="F53">
            <v>2981951</v>
          </cell>
          <cell r="G53" t="str">
            <v>AIRGAS BRASIL REPRESENTACAO</v>
          </cell>
          <cell r="I53">
            <v>4501731799</v>
          </cell>
          <cell r="L53" t="str">
            <v>000009442-1</v>
          </cell>
          <cell r="R53" t="str">
            <v>894.85</v>
          </cell>
        </row>
        <row r="54">
          <cell r="A54" t="str">
            <v>Lançado</v>
          </cell>
          <cell r="F54">
            <v>2980241</v>
          </cell>
          <cell r="G54" t="str">
            <v>GOLDEN COMERCIO E ASSISTENCIA</v>
          </cell>
          <cell r="I54">
            <v>4501729063</v>
          </cell>
          <cell r="L54" t="str">
            <v>000000120-1</v>
          </cell>
          <cell r="R54" t="str">
            <v>35,475.00</v>
          </cell>
        </row>
        <row r="55">
          <cell r="A55" t="str">
            <v>Lançado</v>
          </cell>
          <cell r="F55">
            <v>2979862</v>
          </cell>
          <cell r="G55" t="str">
            <v>MB - COMERCIO E PRESTACAO DE SERVIC</v>
          </cell>
          <cell r="I55">
            <v>4501728406</v>
          </cell>
          <cell r="L55" t="str">
            <v>000000943-1</v>
          </cell>
          <cell r="R55" t="str">
            <v>1,100.00</v>
          </cell>
        </row>
        <row r="56">
          <cell r="A56" t="str">
            <v>Lançado</v>
          </cell>
          <cell r="F56">
            <v>2979482</v>
          </cell>
          <cell r="G56" t="str">
            <v>USINAGEM E FERRAMENTARIA LUZ &amp; LUZ</v>
          </cell>
          <cell r="I56">
            <v>4501726204</v>
          </cell>
          <cell r="L56" t="str">
            <v>000010368-1</v>
          </cell>
          <cell r="R56" t="str">
            <v>32,000.04</v>
          </cell>
        </row>
        <row r="57">
          <cell r="A57" t="str">
            <v>Lançado</v>
          </cell>
          <cell r="F57">
            <v>2968159</v>
          </cell>
          <cell r="G57" t="str">
            <v>FROMM SISTEMAS DE EMBALAGENS LTDA.</v>
          </cell>
          <cell r="I57">
            <v>4501726220</v>
          </cell>
          <cell r="L57" t="str">
            <v>000079927-5</v>
          </cell>
          <cell r="R57" t="str">
            <v>52,517.50</v>
          </cell>
        </row>
        <row r="58">
          <cell r="A58" t="str">
            <v>Lançado</v>
          </cell>
          <cell r="F58">
            <v>2978122</v>
          </cell>
          <cell r="G58" t="str">
            <v>AIRGAS BRASIL REPRESENTACAO</v>
          </cell>
          <cell r="I58">
            <v>4501730472</v>
          </cell>
          <cell r="L58" t="str">
            <v>000009388-1</v>
          </cell>
          <cell r="R58" t="str">
            <v>355.00</v>
          </cell>
        </row>
        <row r="59">
          <cell r="A59" t="str">
            <v>Lançado</v>
          </cell>
          <cell r="F59">
            <v>2976039</v>
          </cell>
          <cell r="G59" t="str">
            <v>OXIGENIO JUNDIAI COML. DE GASES</v>
          </cell>
          <cell r="I59">
            <v>4501729635</v>
          </cell>
          <cell r="L59" t="str">
            <v>000055984-1</v>
          </cell>
          <cell r="R59" t="str">
            <v>967.80</v>
          </cell>
        </row>
        <row r="60">
          <cell r="A60" t="str">
            <v>Lançado</v>
          </cell>
          <cell r="F60">
            <v>2974144</v>
          </cell>
          <cell r="G60" t="str">
            <v>ANHANGUERA COMERCIO DE</v>
          </cell>
          <cell r="I60">
            <v>4501729041</v>
          </cell>
          <cell r="L60" t="str">
            <v>001545764-3</v>
          </cell>
          <cell r="R60" t="str">
            <v>2,749.87</v>
          </cell>
        </row>
        <row r="61">
          <cell r="A61" t="str">
            <v>Lançado</v>
          </cell>
          <cell r="F61">
            <v>2975087</v>
          </cell>
          <cell r="G61" t="str">
            <v>VERA A. BIANCHINI AFONSO ADESIVOS -</v>
          </cell>
          <cell r="I61">
            <v>4501727587</v>
          </cell>
          <cell r="L61" t="str">
            <v>000002517-1</v>
          </cell>
          <cell r="R61" t="str">
            <v>495.00</v>
          </cell>
        </row>
        <row r="62">
          <cell r="A62" t="str">
            <v>Lançado</v>
          </cell>
          <cell r="F62">
            <v>2972583</v>
          </cell>
          <cell r="G62" t="str">
            <v>ANHANGUERA COMERCIO DE</v>
          </cell>
          <cell r="I62">
            <v>4501728415</v>
          </cell>
          <cell r="L62" t="str">
            <v>001541937-3</v>
          </cell>
          <cell r="R62" t="str">
            <v>628.40</v>
          </cell>
        </row>
        <row r="63">
          <cell r="A63" t="str">
            <v>Lançado</v>
          </cell>
          <cell r="F63">
            <v>2972371</v>
          </cell>
          <cell r="G63" t="str">
            <v>TIAGO DE BROI EIRELI EPP.</v>
          </cell>
          <cell r="I63">
            <v>4501725165</v>
          </cell>
          <cell r="L63" t="str">
            <v>000134134-1</v>
          </cell>
          <cell r="R63" t="str">
            <v>850.09</v>
          </cell>
        </row>
        <row r="64">
          <cell r="A64" t="str">
            <v>Lançado</v>
          </cell>
          <cell r="F64">
            <v>2973195</v>
          </cell>
          <cell r="G64" t="str">
            <v>TIAGO DE BROI EIRELI EPP.</v>
          </cell>
          <cell r="I64">
            <v>4501728418</v>
          </cell>
          <cell r="L64" t="str">
            <v>000134374-1</v>
          </cell>
          <cell r="R64" t="str">
            <v>1,869.66</v>
          </cell>
        </row>
        <row r="65">
          <cell r="A65" t="str">
            <v>Lançado</v>
          </cell>
          <cell r="F65">
            <v>2973013</v>
          </cell>
          <cell r="G65" t="str">
            <v>MEGABRAS INDUSTRIA ELETRONICA LTDA.</v>
          </cell>
          <cell r="I65">
            <v>4501726226</v>
          </cell>
          <cell r="L65" t="str">
            <v>000029609-3</v>
          </cell>
          <cell r="R65" t="str">
            <v>20,587.84</v>
          </cell>
        </row>
        <row r="66">
          <cell r="A66" t="str">
            <v>Lançado</v>
          </cell>
          <cell r="F66">
            <v>2971030</v>
          </cell>
          <cell r="G66" t="str">
            <v>OCTANS SISTEMAS DE AUTOMACAO LTDA.</v>
          </cell>
          <cell r="I66">
            <v>4501719496</v>
          </cell>
          <cell r="L66" t="str">
            <v>000000129-1</v>
          </cell>
          <cell r="R66" t="str">
            <v>2,370.00</v>
          </cell>
        </row>
        <row r="67">
          <cell r="A67" t="str">
            <v>Lançado</v>
          </cell>
          <cell r="F67">
            <v>2972362</v>
          </cell>
          <cell r="G67" t="str">
            <v>TIAGO DE BROI EIRELI EPP.</v>
          </cell>
          <cell r="I67">
            <v>4501727542</v>
          </cell>
          <cell r="L67" t="str">
            <v>000134117-1</v>
          </cell>
          <cell r="R67" t="str">
            <v>588.40</v>
          </cell>
        </row>
        <row r="68">
          <cell r="A68" t="str">
            <v>Lançado</v>
          </cell>
          <cell r="F68">
            <v>2972081</v>
          </cell>
          <cell r="G68" t="str">
            <v>USINAGEM E FERRAMENTARIA LUZ &amp; LUZ</v>
          </cell>
          <cell r="I68">
            <v>4501723316</v>
          </cell>
          <cell r="L68" t="str">
            <v>000010304-1</v>
          </cell>
          <cell r="R68" t="str">
            <v>3,120.00</v>
          </cell>
        </row>
        <row r="69">
          <cell r="A69" t="str">
            <v>Lançado</v>
          </cell>
          <cell r="F69">
            <v>2969406</v>
          </cell>
          <cell r="G69" t="str">
            <v>ENERGYARC INDUSTRIAL LTDA.</v>
          </cell>
          <cell r="I69">
            <v>4501724581</v>
          </cell>
          <cell r="L69" t="str">
            <v>000080023-1</v>
          </cell>
          <cell r="R69" t="str">
            <v>706.00</v>
          </cell>
        </row>
        <row r="70">
          <cell r="A70" t="str">
            <v>Lançado</v>
          </cell>
          <cell r="F70">
            <v>2971161</v>
          </cell>
          <cell r="G70" t="str">
            <v>ANHANGUERA COMERCIO DE</v>
          </cell>
          <cell r="I70">
            <v>4501724525</v>
          </cell>
          <cell r="L70" t="str">
            <v>001538669-3</v>
          </cell>
          <cell r="R70" t="str">
            <v>92.81</v>
          </cell>
        </row>
        <row r="71">
          <cell r="A71" t="str">
            <v>Lançado</v>
          </cell>
          <cell r="F71">
            <v>2971642</v>
          </cell>
          <cell r="G71" t="str">
            <v>ESTRUTURAS E EQUIPAMENTOS</v>
          </cell>
          <cell r="I71">
            <v>4501722484</v>
          </cell>
          <cell r="L71" t="str">
            <v>000000708-9</v>
          </cell>
          <cell r="R71" t="str">
            <v>3,830.00</v>
          </cell>
        </row>
        <row r="72">
          <cell r="A72" t="str">
            <v>Lançado</v>
          </cell>
          <cell r="F72">
            <v>2971641</v>
          </cell>
          <cell r="G72" t="str">
            <v>ESTRUTURAS E EQUIPAMENTOS</v>
          </cell>
          <cell r="I72">
            <v>4501725172</v>
          </cell>
          <cell r="L72" t="str">
            <v>000000707-9</v>
          </cell>
          <cell r="R72" t="str">
            <v>2,625.00</v>
          </cell>
        </row>
        <row r="73">
          <cell r="A73" t="str">
            <v>Lançado</v>
          </cell>
          <cell r="F73">
            <v>2971619</v>
          </cell>
          <cell r="G73" t="str">
            <v>ESTRUTURAS E EQUIPAMENTOS</v>
          </cell>
          <cell r="I73">
            <v>4501725170</v>
          </cell>
          <cell r="L73" t="str">
            <v>000000706-9</v>
          </cell>
          <cell r="R73" t="str">
            <v>700.00</v>
          </cell>
        </row>
        <row r="74">
          <cell r="A74" t="str">
            <v>Lançado</v>
          </cell>
          <cell r="F74">
            <v>2970987</v>
          </cell>
          <cell r="G74" t="str">
            <v>TIAGO DE BROI EIRELI EPP.</v>
          </cell>
          <cell r="I74">
            <v>4501725833</v>
          </cell>
          <cell r="L74" t="str">
            <v>000133837-1</v>
          </cell>
          <cell r="R74" t="str">
            <v>1,869.42</v>
          </cell>
        </row>
        <row r="75">
          <cell r="A75" t="str">
            <v>Lançado</v>
          </cell>
          <cell r="F75">
            <v>2967432</v>
          </cell>
          <cell r="G75" t="str">
            <v>MB - COMERCIO E PRESTACAO DE SERVIC</v>
          </cell>
          <cell r="I75">
            <v>4501724225</v>
          </cell>
          <cell r="L75" t="str">
            <v>000000936-1</v>
          </cell>
          <cell r="R75" t="str">
            <v>1,500.00</v>
          </cell>
        </row>
        <row r="76">
          <cell r="A76" t="str">
            <v>Lançado</v>
          </cell>
          <cell r="F76">
            <v>2967760</v>
          </cell>
          <cell r="G76" t="str">
            <v>MOTA - USINAGEM E</v>
          </cell>
          <cell r="I76">
            <v>4501724784</v>
          </cell>
          <cell r="L76" t="str">
            <v>000007034-1</v>
          </cell>
          <cell r="R76" t="str">
            <v>2,734.24</v>
          </cell>
        </row>
        <row r="77">
          <cell r="A77" t="str">
            <v>Lançado</v>
          </cell>
          <cell r="F77">
            <v>2970123</v>
          </cell>
          <cell r="G77" t="str">
            <v>OXIGENIO JUNDIAI COML. DE GASES</v>
          </cell>
          <cell r="I77">
            <v>4501725466</v>
          </cell>
          <cell r="L77" t="str">
            <v>000055810-1</v>
          </cell>
          <cell r="R77" t="str">
            <v>2,545.00</v>
          </cell>
        </row>
        <row r="78">
          <cell r="A78" t="str">
            <v>Lançado</v>
          </cell>
          <cell r="F78">
            <v>2969214</v>
          </cell>
          <cell r="G78" t="str">
            <v>ANHANGUERA COMERCIO DE</v>
          </cell>
          <cell r="I78">
            <v>4501722773</v>
          </cell>
          <cell r="L78" t="str">
            <v>001533839-3</v>
          </cell>
          <cell r="R78" t="str">
            <v>1,234.10</v>
          </cell>
        </row>
        <row r="79">
          <cell r="A79" t="str">
            <v>Lançado</v>
          </cell>
          <cell r="F79">
            <v>2967736</v>
          </cell>
          <cell r="G79" t="str">
            <v>ANHANGUERA COMERCIO DE</v>
          </cell>
          <cell r="I79">
            <v>4501726126</v>
          </cell>
          <cell r="L79" t="str">
            <v>001532550-3</v>
          </cell>
          <cell r="R79" t="str">
            <v>1,581.40</v>
          </cell>
        </row>
        <row r="80">
          <cell r="A80" t="str">
            <v>Lançado</v>
          </cell>
          <cell r="F80">
            <v>2968301</v>
          </cell>
          <cell r="G80" t="str">
            <v>ROVAMEC USINAGEM LTDA. EPP.</v>
          </cell>
          <cell r="I80">
            <v>4501723317</v>
          </cell>
          <cell r="L80" t="str">
            <v>000007318-1</v>
          </cell>
          <cell r="R80" t="str">
            <v>4,800.00</v>
          </cell>
        </row>
        <row r="81">
          <cell r="A81" t="str">
            <v>Lançado</v>
          </cell>
          <cell r="F81">
            <v>2968237</v>
          </cell>
          <cell r="G81" t="str">
            <v>ROVAMEC USINAGEM LTDA. EPP.</v>
          </cell>
          <cell r="I81">
            <v>4501724517</v>
          </cell>
          <cell r="L81" t="str">
            <v>000007317-1</v>
          </cell>
          <cell r="R81" t="str">
            <v>2,700.00</v>
          </cell>
        </row>
        <row r="82">
          <cell r="A82" t="str">
            <v>Lançado</v>
          </cell>
          <cell r="F82">
            <v>2967487</v>
          </cell>
          <cell r="G82" t="str">
            <v>TIAGO DE BROI EIRELI EPP.</v>
          </cell>
          <cell r="I82">
            <v>4501723869</v>
          </cell>
          <cell r="L82" t="str">
            <v>000133231-1</v>
          </cell>
          <cell r="R82" t="str">
            <v>4,026.56</v>
          </cell>
        </row>
        <row r="83">
          <cell r="A83" t="str">
            <v>Lançado</v>
          </cell>
          <cell r="F83">
            <v>2966327</v>
          </cell>
          <cell r="G83" t="str">
            <v>ANHANGUERA COMERCIO DE</v>
          </cell>
          <cell r="I83">
            <v>4501725168</v>
          </cell>
          <cell r="L83" t="str">
            <v>001529672-3</v>
          </cell>
          <cell r="R83" t="str">
            <v>2,013.87</v>
          </cell>
        </row>
        <row r="84">
          <cell r="A84" t="str">
            <v>Lançado</v>
          </cell>
          <cell r="F84">
            <v>2966026</v>
          </cell>
          <cell r="G84" t="str">
            <v>AUTOMASAFETY CONSULTORIA IND. E</v>
          </cell>
          <cell r="I84">
            <v>4501708729</v>
          </cell>
          <cell r="L84" t="str">
            <v>000001083-9</v>
          </cell>
          <cell r="R84" t="str">
            <v>17,430.70</v>
          </cell>
        </row>
        <row r="85">
          <cell r="A85" t="str">
            <v>Lançado</v>
          </cell>
          <cell r="F85">
            <v>2967089</v>
          </cell>
          <cell r="G85" t="str">
            <v>TIAGO DE BROI EIRELI EPP.</v>
          </cell>
          <cell r="I85">
            <v>4501722089</v>
          </cell>
          <cell r="L85" t="str">
            <v>000133139-1</v>
          </cell>
          <cell r="R85" t="str">
            <v>2,263.71</v>
          </cell>
        </row>
        <row r="86">
          <cell r="A86" t="str">
            <v>Lançado</v>
          </cell>
          <cell r="F86">
            <v>2966996</v>
          </cell>
          <cell r="G86" t="str">
            <v>USINAGEM E FERRAMENTARIA LUZ &amp; LUZ</v>
          </cell>
          <cell r="I86">
            <v>4501723315</v>
          </cell>
          <cell r="L86" t="str">
            <v>000010280-1</v>
          </cell>
          <cell r="R86" t="str">
            <v>2,680.00</v>
          </cell>
        </row>
        <row r="87">
          <cell r="A87" t="str">
            <v>Lançado</v>
          </cell>
          <cell r="F87">
            <v>2964124</v>
          </cell>
          <cell r="G87" t="str">
            <v>ANHANGUERA COMERCIO DE</v>
          </cell>
          <cell r="I87">
            <v>4501724525</v>
          </cell>
          <cell r="L87" t="str">
            <v>001525640-3</v>
          </cell>
          <cell r="R87" t="str">
            <v>1,516.94</v>
          </cell>
        </row>
        <row r="88">
          <cell r="A88" t="str">
            <v>Lançado</v>
          </cell>
          <cell r="F88">
            <v>2963697</v>
          </cell>
          <cell r="G88" t="str">
            <v>ANHANGUERA COMERCIO DE</v>
          </cell>
          <cell r="I88">
            <v>4501724525</v>
          </cell>
          <cell r="L88" t="str">
            <v>001525156-3</v>
          </cell>
          <cell r="R88" t="str">
            <v>650.57</v>
          </cell>
        </row>
        <row r="89">
          <cell r="A89" t="str">
            <v>Lançado</v>
          </cell>
          <cell r="F89">
            <v>2963355</v>
          </cell>
          <cell r="G89" t="str">
            <v>ANHANGUERA COMERCIO DE</v>
          </cell>
          <cell r="I89">
            <v>4501724346</v>
          </cell>
          <cell r="L89" t="str">
            <v>001524608-3</v>
          </cell>
          <cell r="R89" t="str">
            <v>1,021.30</v>
          </cell>
        </row>
        <row r="90">
          <cell r="A90" t="str">
            <v>Lançado</v>
          </cell>
          <cell r="F90">
            <v>2964720</v>
          </cell>
          <cell r="G90" t="str">
            <v>VERA A. BIANCHINI AFONSO ADESIVOS -</v>
          </cell>
          <cell r="I90">
            <v>4501724641</v>
          </cell>
          <cell r="L90" t="str">
            <v>000002514-1</v>
          </cell>
          <cell r="R90" t="str">
            <v>1,080.00</v>
          </cell>
        </row>
        <row r="91">
          <cell r="A91" t="str">
            <v>Lançado</v>
          </cell>
          <cell r="F91">
            <v>2964341</v>
          </cell>
          <cell r="G91" t="str">
            <v>JUND-ROL COMERCIO E IMPORTACAO DE</v>
          </cell>
          <cell r="I91">
            <v>4501724647</v>
          </cell>
          <cell r="L91" t="str">
            <v>000193584-2</v>
          </cell>
          <cell r="R91" t="str">
            <v>5,843.97</v>
          </cell>
        </row>
        <row r="92">
          <cell r="A92" t="str">
            <v>Lançado</v>
          </cell>
          <cell r="F92">
            <v>2964021</v>
          </cell>
          <cell r="G92" t="str">
            <v>TIAGO DE BROI EIRELI EPP.</v>
          </cell>
          <cell r="I92">
            <v>4501723885</v>
          </cell>
          <cell r="L92" t="str">
            <v>000132677-1</v>
          </cell>
          <cell r="R92" t="str">
            <v>1,081.19</v>
          </cell>
        </row>
        <row r="93">
          <cell r="A93" t="str">
            <v>Lançado</v>
          </cell>
          <cell r="F93">
            <v>2960977</v>
          </cell>
          <cell r="G93" t="str">
            <v>ANHANGUERA COMERCIO DE</v>
          </cell>
          <cell r="I93">
            <v>4501723506</v>
          </cell>
          <cell r="L93" t="str">
            <v>001520732-3</v>
          </cell>
          <cell r="R93" t="str">
            <v>3,627.21</v>
          </cell>
        </row>
        <row r="94">
          <cell r="A94" t="str">
            <v>Lançado</v>
          </cell>
          <cell r="F94">
            <v>2960586</v>
          </cell>
          <cell r="G94" t="str">
            <v>BUNZL EQUIPAMENTOS PARA PROTECAO</v>
          </cell>
          <cell r="I94">
            <v>4501723320</v>
          </cell>
          <cell r="L94" t="str">
            <v>001757455-1</v>
          </cell>
          <cell r="R94" t="str">
            <v>2,993.80</v>
          </cell>
        </row>
        <row r="95">
          <cell r="A95" t="str">
            <v>Lançado</v>
          </cell>
          <cell r="F95">
            <v>2958646</v>
          </cell>
          <cell r="G95" t="str">
            <v>ANHANGUERA COMERCIO DE</v>
          </cell>
          <cell r="I95">
            <v>4501721935</v>
          </cell>
          <cell r="L95" t="str">
            <v>001517597-3</v>
          </cell>
          <cell r="R95" t="str">
            <v>2,043.04</v>
          </cell>
        </row>
        <row r="96">
          <cell r="A96" t="str">
            <v>Lançado</v>
          </cell>
          <cell r="F96">
            <v>2963457</v>
          </cell>
          <cell r="G96" t="str">
            <v>TIAGO DE BROI EIRELI EPP.</v>
          </cell>
          <cell r="I96">
            <v>4501721647</v>
          </cell>
          <cell r="L96" t="str">
            <v>000132032-1</v>
          </cell>
          <cell r="R96" t="str">
            <v>1,991.36</v>
          </cell>
        </row>
        <row r="97">
          <cell r="A97" t="str">
            <v>Lançado</v>
          </cell>
          <cell r="F97">
            <v>2962830</v>
          </cell>
          <cell r="G97" t="str">
            <v>AIRGAS BRASIL REPRESENTACAO</v>
          </cell>
          <cell r="I97">
            <v>4501724222</v>
          </cell>
          <cell r="L97" t="str">
            <v>000009228-1</v>
          </cell>
          <cell r="R97" t="str">
            <v>485.60</v>
          </cell>
        </row>
        <row r="98">
          <cell r="A98" t="str">
            <v>Lançado</v>
          </cell>
          <cell r="F98">
            <v>2962828</v>
          </cell>
          <cell r="G98" t="str">
            <v>ALBERFLEX INDUSTRIA DE MOVEIS LTDA.</v>
          </cell>
          <cell r="I98">
            <v>4501717146</v>
          </cell>
          <cell r="L98" t="str">
            <v>000126401-1</v>
          </cell>
          <cell r="R98" t="str">
            <v>7,011.10</v>
          </cell>
        </row>
        <row r="99">
          <cell r="A99" t="str">
            <v>Lançado</v>
          </cell>
          <cell r="F99">
            <v>2962330</v>
          </cell>
          <cell r="G99" t="str">
            <v>CONDUTA - E.R.C. SOLUCOES</v>
          </cell>
          <cell r="I99">
            <v>4501708379</v>
          </cell>
          <cell r="L99" t="str">
            <v>000001173-1</v>
          </cell>
          <cell r="R99" t="str">
            <v>11,400.00</v>
          </cell>
        </row>
        <row r="100">
          <cell r="A100" t="str">
            <v>Lançado</v>
          </cell>
          <cell r="F100">
            <v>2962169</v>
          </cell>
          <cell r="G100" t="str">
            <v>TIAGO DE BROI EIRELI EPP.</v>
          </cell>
          <cell r="I100">
            <v>4501722091</v>
          </cell>
          <cell r="L100" t="str">
            <v>000132370-1</v>
          </cell>
          <cell r="R100" t="str">
            <v>224.40</v>
          </cell>
        </row>
        <row r="101">
          <cell r="A101" t="str">
            <v>Lançado</v>
          </cell>
          <cell r="F101">
            <v>2961431</v>
          </cell>
          <cell r="G101" t="str">
            <v>ROVAMEC USINAGEM LTDA. EPP.</v>
          </cell>
          <cell r="I101">
            <v>4501721478</v>
          </cell>
          <cell r="L101" t="str">
            <v>000007295-1</v>
          </cell>
          <cell r="R101" t="str">
            <v>3,092.00</v>
          </cell>
        </row>
        <row r="102">
          <cell r="A102" t="str">
            <v>Lançado</v>
          </cell>
          <cell r="F102">
            <v>2961248</v>
          </cell>
          <cell r="G102" t="str">
            <v>VERA A. BIANCHINI AFONSO ADESIVOS -</v>
          </cell>
          <cell r="I102">
            <v>4501723504</v>
          </cell>
          <cell r="L102" t="str">
            <v>000002510-1</v>
          </cell>
          <cell r="R102" t="str">
            <v>3,600.00</v>
          </cell>
        </row>
        <row r="103">
          <cell r="A103" t="str">
            <v>Lançado</v>
          </cell>
          <cell r="F103">
            <v>2961866</v>
          </cell>
          <cell r="G103" t="str">
            <v>AIRGAS BRASIL REPRESENTACAO</v>
          </cell>
          <cell r="I103">
            <v>4501723314</v>
          </cell>
          <cell r="L103" t="str">
            <v>000009218-1</v>
          </cell>
          <cell r="R103" t="str">
            <v>2,232.40</v>
          </cell>
        </row>
        <row r="104">
          <cell r="A104" t="str">
            <v>Lançado</v>
          </cell>
          <cell r="F104">
            <v>2960832</v>
          </cell>
          <cell r="G104" t="str">
            <v>ANHANGUERA COMERCIO DE</v>
          </cell>
          <cell r="I104">
            <v>4501723521</v>
          </cell>
          <cell r="L104" t="str">
            <v>001520512-3</v>
          </cell>
          <cell r="R104" t="str">
            <v>4,598.27</v>
          </cell>
        </row>
        <row r="105">
          <cell r="A105" t="str">
            <v>Lançado</v>
          </cell>
          <cell r="F105">
            <v>2960749</v>
          </cell>
          <cell r="G105" t="str">
            <v>AGIS EQUIPAMENTOS E SERVICOS DE</v>
          </cell>
          <cell r="I105">
            <v>4501722488</v>
          </cell>
          <cell r="L105" t="str">
            <v>000579809-1</v>
          </cell>
          <cell r="R105" t="str">
            <v>15,825.00</v>
          </cell>
        </row>
        <row r="106">
          <cell r="A106" t="str">
            <v>Lançado</v>
          </cell>
          <cell r="F106">
            <v>2959938</v>
          </cell>
          <cell r="G106" t="str">
            <v>TIAGO DE BROI EIRELI EPP.</v>
          </cell>
          <cell r="I106">
            <v>4501722087</v>
          </cell>
          <cell r="L106" t="str">
            <v>000131874-1</v>
          </cell>
          <cell r="R106" t="str">
            <v>891.10</v>
          </cell>
        </row>
        <row r="107">
          <cell r="A107" t="str">
            <v>Lançado</v>
          </cell>
          <cell r="F107">
            <v>2958135</v>
          </cell>
          <cell r="G107" t="str">
            <v>RIGGING BRASIL PRESTACAO DE</v>
          </cell>
          <cell r="I107">
            <v>4501721350</v>
          </cell>
          <cell r="L107" t="str">
            <v>000000018-9</v>
          </cell>
          <cell r="R107" t="str">
            <v>6,257.85</v>
          </cell>
        </row>
        <row r="108">
          <cell r="A108" t="str">
            <v>Lançado</v>
          </cell>
          <cell r="F108">
            <v>2954447</v>
          </cell>
          <cell r="G108" t="str">
            <v>ANHANGUERA COMERCIO DE</v>
          </cell>
          <cell r="I108">
            <v>4501721541</v>
          </cell>
          <cell r="L108" t="str">
            <v>001512417-3</v>
          </cell>
          <cell r="R108" t="str">
            <v>6,584.97</v>
          </cell>
        </row>
        <row r="109">
          <cell r="A109" t="str">
            <v>Lançado</v>
          </cell>
          <cell r="F109">
            <v>2957463</v>
          </cell>
          <cell r="G109" t="str">
            <v>MB - COMERCIO E PRESTACAO DE SERVIC</v>
          </cell>
          <cell r="I109">
            <v>4501719697</v>
          </cell>
          <cell r="L109" t="str">
            <v>000000924-1</v>
          </cell>
          <cell r="R109" t="str">
            <v>1,900.00</v>
          </cell>
        </row>
        <row r="110">
          <cell r="A110" t="str">
            <v>Lançado</v>
          </cell>
          <cell r="F110">
            <v>2956795</v>
          </cell>
          <cell r="G110" t="str">
            <v>TIAGO DE BROI EIRELI EPP.</v>
          </cell>
          <cell r="I110">
            <v>4501715890</v>
          </cell>
          <cell r="L110" t="str">
            <v>000131240-1</v>
          </cell>
          <cell r="R110" t="str">
            <v>2,713.00</v>
          </cell>
        </row>
        <row r="111">
          <cell r="A111" t="str">
            <v>Lançado</v>
          </cell>
          <cell r="F111">
            <v>2956948</v>
          </cell>
          <cell r="G111" t="str">
            <v>ROVAMEC USINAGEM LTDA. EPP.</v>
          </cell>
          <cell r="I111">
            <v>4501709214</v>
          </cell>
          <cell r="L111" t="str">
            <v>000007284-1</v>
          </cell>
          <cell r="R111" t="str">
            <v>48,400.00</v>
          </cell>
        </row>
        <row r="112">
          <cell r="A112" t="str">
            <v>Lançado</v>
          </cell>
          <cell r="F112">
            <v>2954081</v>
          </cell>
          <cell r="G112" t="str">
            <v>TECNOCRIMPER INDUSTRIA E</v>
          </cell>
          <cell r="I112">
            <v>4501716780</v>
          </cell>
          <cell r="L112" t="str">
            <v>000033526-1</v>
          </cell>
          <cell r="R112" t="str">
            <v>2,276.19</v>
          </cell>
        </row>
        <row r="113">
          <cell r="A113" t="str">
            <v>Lançado</v>
          </cell>
          <cell r="F113">
            <v>2951605</v>
          </cell>
          <cell r="G113" t="str">
            <v>ANHANGUERA COMERCIO DE</v>
          </cell>
          <cell r="I113">
            <v>4501718866</v>
          </cell>
          <cell r="L113" t="str">
            <v>001508003-3</v>
          </cell>
          <cell r="R113" t="str">
            <v>321.37</v>
          </cell>
        </row>
        <row r="114">
          <cell r="A114" t="str">
            <v>Lançado</v>
          </cell>
          <cell r="F114">
            <v>2954237</v>
          </cell>
          <cell r="G114" t="str">
            <v>VERA A. BIANCHINI AFONSO ADESIVOS -</v>
          </cell>
          <cell r="I114">
            <v>4501717156</v>
          </cell>
          <cell r="L114" t="str">
            <v>000002502-1</v>
          </cell>
          <cell r="R114" t="str">
            <v>440.00</v>
          </cell>
        </row>
        <row r="115">
          <cell r="A115" t="str">
            <v>Lançado</v>
          </cell>
          <cell r="F115">
            <v>2947434</v>
          </cell>
          <cell r="G115" t="str">
            <v>J ASSIS COMERCIO E</v>
          </cell>
          <cell r="I115">
            <v>4501716228</v>
          </cell>
          <cell r="L115" t="str">
            <v>000000899-1</v>
          </cell>
          <cell r="R115" t="str">
            <v>1,809.00</v>
          </cell>
        </row>
        <row r="116">
          <cell r="A116" t="str">
            <v>Lançado</v>
          </cell>
          <cell r="F116">
            <v>2943103</v>
          </cell>
          <cell r="G116" t="str">
            <v>ROVAMEC USINAGEM LTDA. EPP.</v>
          </cell>
          <cell r="I116">
            <v>4501709214</v>
          </cell>
          <cell r="L116" t="str">
            <v>000007248-1</v>
          </cell>
          <cell r="R116" t="str">
            <v>38,500.00</v>
          </cell>
        </row>
        <row r="117">
          <cell r="A117" t="str">
            <v>Lançado</v>
          </cell>
          <cell r="F117">
            <v>2953527</v>
          </cell>
          <cell r="G117" t="str">
            <v>TIAGO DE BROI EIRELI EPP.</v>
          </cell>
          <cell r="I117">
            <v>4501718721</v>
          </cell>
          <cell r="L117" t="str">
            <v>000130634-1</v>
          </cell>
          <cell r="R117" t="str">
            <v>2,635.85</v>
          </cell>
        </row>
        <row r="118">
          <cell r="A118" t="str">
            <v>Lançado</v>
          </cell>
          <cell r="F118">
            <v>2950785</v>
          </cell>
          <cell r="G118" t="str">
            <v>TIAGO DE BROI EIRELI EPP.</v>
          </cell>
          <cell r="I118">
            <v>4501719454</v>
          </cell>
          <cell r="L118" t="str">
            <v>000130507-1</v>
          </cell>
          <cell r="R118" t="str">
            <v>539.98</v>
          </cell>
        </row>
        <row r="119">
          <cell r="A119" t="str">
            <v>Lançado</v>
          </cell>
          <cell r="F119">
            <v>2951599</v>
          </cell>
          <cell r="G119" t="str">
            <v>USINAGEM PAULISTA LTDA.</v>
          </cell>
          <cell r="I119">
            <v>4501708371</v>
          </cell>
          <cell r="L119" t="str">
            <v>000000365-9</v>
          </cell>
          <cell r="R119" t="str">
            <v>11,600.00</v>
          </cell>
        </row>
        <row r="120">
          <cell r="A120" t="str">
            <v>Lançado</v>
          </cell>
          <cell r="F120">
            <v>2947483</v>
          </cell>
          <cell r="G120" t="str">
            <v>ANHANGUERA COMERCIO DE</v>
          </cell>
          <cell r="I120">
            <v>4501718866</v>
          </cell>
          <cell r="L120" t="str">
            <v>001503085-3</v>
          </cell>
          <cell r="R120" t="str">
            <v>2,045.69</v>
          </cell>
        </row>
        <row r="121">
          <cell r="A121" t="str">
            <v>Lançado</v>
          </cell>
          <cell r="F121">
            <v>2947169</v>
          </cell>
          <cell r="G121" t="str">
            <v>ANHANGUERA COMERCIO DE</v>
          </cell>
          <cell r="I121">
            <v>4501718864</v>
          </cell>
          <cell r="L121" t="str">
            <v>001502452-3</v>
          </cell>
          <cell r="R121" t="str">
            <v>566.09</v>
          </cell>
        </row>
        <row r="122">
          <cell r="A122" t="str">
            <v>Lançado</v>
          </cell>
          <cell r="F122">
            <v>2950241</v>
          </cell>
          <cell r="G122" t="str">
            <v>ROVAMEC USINAGEM LTDA. EPP.</v>
          </cell>
          <cell r="I122">
            <v>4501719457</v>
          </cell>
          <cell r="L122" t="str">
            <v>000007270-1</v>
          </cell>
          <cell r="R122" t="str">
            <v>3,980.00</v>
          </cell>
        </row>
        <row r="123">
          <cell r="A123" t="str">
            <v>Lançado</v>
          </cell>
          <cell r="F123">
            <v>2949513</v>
          </cell>
          <cell r="G123" t="str">
            <v>TIAGO DE BROI EIRELI EPP.</v>
          </cell>
          <cell r="I123">
            <v>4501718581</v>
          </cell>
          <cell r="L123" t="str">
            <v>000130280-1</v>
          </cell>
          <cell r="R123" t="str">
            <v>1,940.00</v>
          </cell>
        </row>
        <row r="124">
          <cell r="A124" t="str">
            <v>Lançado</v>
          </cell>
          <cell r="F124">
            <v>2949164</v>
          </cell>
          <cell r="G124" t="str">
            <v>OCTANS SISTEMAS DE AUTOMACAO LTDA.</v>
          </cell>
          <cell r="I124">
            <v>4501719496</v>
          </cell>
          <cell r="L124" t="str">
            <v>000000009-9</v>
          </cell>
          <cell r="R124" t="str">
            <v>1,385.00</v>
          </cell>
        </row>
        <row r="125">
          <cell r="A125" t="str">
            <v>Lançado</v>
          </cell>
          <cell r="F125">
            <v>2947275</v>
          </cell>
          <cell r="G125" t="str">
            <v>TIAGO DE BROI EIRELI EPP.</v>
          </cell>
          <cell r="I125">
            <v>4501716201</v>
          </cell>
          <cell r="L125" t="str">
            <v>000129921-1</v>
          </cell>
          <cell r="R125" t="str">
            <v>4,921.44</v>
          </cell>
        </row>
        <row r="126">
          <cell r="A126" t="str">
            <v>Lançado</v>
          </cell>
          <cell r="F126">
            <v>2946223</v>
          </cell>
          <cell r="G126" t="str">
            <v>ESTRUTURAS E EQUIPAMENTOS</v>
          </cell>
          <cell r="I126">
            <v>4501715748</v>
          </cell>
          <cell r="L126" t="str">
            <v>000001288-1</v>
          </cell>
          <cell r="R126" t="str">
            <v>5,750.00</v>
          </cell>
        </row>
        <row r="127">
          <cell r="A127" t="str">
            <v>Lançado</v>
          </cell>
          <cell r="F127">
            <v>2945847</v>
          </cell>
          <cell r="G127" t="str">
            <v>ROVAMEC USINAGEM LTDA. EPP.</v>
          </cell>
          <cell r="I127">
            <v>4501709214</v>
          </cell>
          <cell r="L127" t="str">
            <v>000007258-1</v>
          </cell>
          <cell r="R127" t="str">
            <v>45,900.00</v>
          </cell>
        </row>
        <row r="128">
          <cell r="A128" t="str">
            <v>Lançado</v>
          </cell>
          <cell r="F128">
            <v>2945843</v>
          </cell>
          <cell r="G128" t="str">
            <v>ROVAMEC USINAGEM LTDA. EPP.</v>
          </cell>
          <cell r="I128">
            <v>4501716728</v>
          </cell>
          <cell r="L128" t="str">
            <v>000007257-1</v>
          </cell>
          <cell r="R128" t="str">
            <v>10,560.00</v>
          </cell>
        </row>
        <row r="129">
          <cell r="A129" t="str">
            <v>Lançado</v>
          </cell>
          <cell r="F129">
            <v>2945590</v>
          </cell>
          <cell r="G129" t="str">
            <v>TIAGO DE BROI EIRELI EPP.</v>
          </cell>
          <cell r="I129">
            <v>4501716905</v>
          </cell>
          <cell r="L129" t="str">
            <v>000129591-1</v>
          </cell>
          <cell r="R129" t="str">
            <v>2,464.60</v>
          </cell>
        </row>
        <row r="130">
          <cell r="A130" t="str">
            <v>Lançado</v>
          </cell>
          <cell r="F130">
            <v>2943611</v>
          </cell>
          <cell r="G130" t="str">
            <v>ANHANGUERA COMERCIO DE</v>
          </cell>
          <cell r="I130">
            <v>4501716901</v>
          </cell>
          <cell r="L130" t="str">
            <v>001497676-3</v>
          </cell>
          <cell r="R130" t="str">
            <v>11,505.87</v>
          </cell>
        </row>
        <row r="131">
          <cell r="A131" t="str">
            <v>Lançado</v>
          </cell>
          <cell r="F131">
            <v>2944145</v>
          </cell>
          <cell r="G131" t="str">
            <v>ESTRUTURAS E EQUIPAMENTOS</v>
          </cell>
          <cell r="I131">
            <v>4501714633</v>
          </cell>
          <cell r="L131" t="str">
            <v>000000696-9</v>
          </cell>
          <cell r="R131" t="str">
            <v>1,849.99</v>
          </cell>
        </row>
        <row r="132">
          <cell r="A132" t="str">
            <v>Lançado</v>
          </cell>
          <cell r="F132">
            <v>2942074</v>
          </cell>
          <cell r="G132" t="str">
            <v>TIAGO DE BROI EIRELI EPP.</v>
          </cell>
          <cell r="I132">
            <v>4501716309</v>
          </cell>
          <cell r="L132" t="str">
            <v>000128933-1</v>
          </cell>
          <cell r="R132" t="str">
            <v>425.12</v>
          </cell>
        </row>
        <row r="133">
          <cell r="A133" t="str">
            <v>Lançado</v>
          </cell>
          <cell r="F133">
            <v>2940137</v>
          </cell>
          <cell r="G133" t="str">
            <v>KEYENCE BRASIL COMERCIO DE PRODUTOS</v>
          </cell>
          <cell r="I133">
            <v>4501715242</v>
          </cell>
          <cell r="L133" t="str">
            <v>000168614-1</v>
          </cell>
          <cell r="R133" t="str">
            <v>8,816.49</v>
          </cell>
        </row>
        <row r="134">
          <cell r="A134" t="str">
            <v>Lançado</v>
          </cell>
          <cell r="F134">
            <v>2940180</v>
          </cell>
          <cell r="G134" t="str">
            <v>TIAGO DE BROI EIRELI EPP.</v>
          </cell>
          <cell r="I134">
            <v>4501715846</v>
          </cell>
          <cell r="L134" t="str">
            <v>000128572-1</v>
          </cell>
          <cell r="R134" t="str">
            <v>876.80</v>
          </cell>
        </row>
        <row r="135">
          <cell r="A135" t="str">
            <v>Lançado</v>
          </cell>
          <cell r="F135">
            <v>2935557</v>
          </cell>
          <cell r="G135" t="str">
            <v>TIAGO DE BROI EIRELI EPP.</v>
          </cell>
          <cell r="I135">
            <v>4501714070</v>
          </cell>
          <cell r="L135" t="str">
            <v>000127738-1</v>
          </cell>
          <cell r="R135" t="str">
            <v>125.00</v>
          </cell>
        </row>
        <row r="136">
          <cell r="A136" t="str">
            <v>Lançado</v>
          </cell>
          <cell r="F136">
            <v>2940733</v>
          </cell>
          <cell r="G136" t="str">
            <v>OXIGENIO JUNDIAI COML. DE GASES</v>
          </cell>
          <cell r="I136">
            <v>4501714625</v>
          </cell>
          <cell r="L136" t="str">
            <v>000055090-1</v>
          </cell>
          <cell r="R136" t="str">
            <v>319.98</v>
          </cell>
        </row>
        <row r="137">
          <cell r="A137" t="str">
            <v>Lançado</v>
          </cell>
          <cell r="F137">
            <v>2940449</v>
          </cell>
          <cell r="G137" t="str">
            <v>ANHANGUERA COMERCIO DE</v>
          </cell>
          <cell r="I137">
            <v>4501714079</v>
          </cell>
          <cell r="L137" t="str">
            <v>001492898-3</v>
          </cell>
          <cell r="R137" t="str">
            <v>1,166.87</v>
          </cell>
        </row>
        <row r="138">
          <cell r="A138" t="str">
            <v>Lançado</v>
          </cell>
          <cell r="F138">
            <v>2934256</v>
          </cell>
          <cell r="G138" t="str">
            <v>ANHANGUERA COMERCIO DE</v>
          </cell>
          <cell r="I138">
            <v>4501714035</v>
          </cell>
          <cell r="L138" t="str">
            <v>001482451-3</v>
          </cell>
          <cell r="R138" t="str">
            <v>1,389.05</v>
          </cell>
        </row>
        <row r="139">
          <cell r="A139" t="str">
            <v>Lançado</v>
          </cell>
          <cell r="F139">
            <v>2938779</v>
          </cell>
          <cell r="G139" t="str">
            <v>TIAGO DE BROI EIRELI EPP.</v>
          </cell>
          <cell r="I139">
            <v>4501715753</v>
          </cell>
          <cell r="L139" t="str">
            <v>000128284-1</v>
          </cell>
          <cell r="R139" t="str">
            <v>1,100.48</v>
          </cell>
        </row>
        <row r="140">
          <cell r="A140" t="str">
            <v>Lançado</v>
          </cell>
          <cell r="F140">
            <v>2935640</v>
          </cell>
          <cell r="G140" t="str">
            <v>TIAGO DE BROI EIRELI EPP.</v>
          </cell>
          <cell r="I140">
            <v>4501714061</v>
          </cell>
          <cell r="L140" t="str">
            <v>000127753-1</v>
          </cell>
          <cell r="R140" t="str">
            <v>1,164.46</v>
          </cell>
        </row>
        <row r="141">
          <cell r="A141" t="str">
            <v>Lançado</v>
          </cell>
          <cell r="F141">
            <v>2929188</v>
          </cell>
          <cell r="G141" t="str">
            <v>ANHANGUERA COMERCIO DE</v>
          </cell>
          <cell r="I141">
            <v>4501712542</v>
          </cell>
          <cell r="L141" t="str">
            <v>001474932-3</v>
          </cell>
          <cell r="R141" t="str">
            <v>3,123.65</v>
          </cell>
        </row>
        <row r="142">
          <cell r="A142" t="str">
            <v>Lançado</v>
          </cell>
          <cell r="F142">
            <v>2936093</v>
          </cell>
          <cell r="G142" t="str">
            <v>ANHANGUERA COMERCIO DE</v>
          </cell>
          <cell r="I142">
            <v>4501712536</v>
          </cell>
          <cell r="L142" t="str">
            <v>001485925-3</v>
          </cell>
          <cell r="R142" t="str">
            <v>110.04</v>
          </cell>
        </row>
        <row r="143">
          <cell r="A143" t="str">
            <v>Lançado</v>
          </cell>
          <cell r="F143">
            <v>2936758</v>
          </cell>
          <cell r="G143" t="str">
            <v>TIAGO DE BROI EIRELI EPP.</v>
          </cell>
          <cell r="I143">
            <v>4501714648</v>
          </cell>
          <cell r="L143" t="str">
            <v>000127932-1</v>
          </cell>
          <cell r="R143" t="str">
            <v>1,172.31</v>
          </cell>
        </row>
        <row r="144">
          <cell r="A144" t="str">
            <v>Lançado</v>
          </cell>
          <cell r="F144">
            <v>2935694</v>
          </cell>
          <cell r="G144" t="str">
            <v>ESTRUTURAS E EQUIPAMENTOS</v>
          </cell>
          <cell r="I144">
            <v>4501711958</v>
          </cell>
          <cell r="L144" t="str">
            <v>000000694-9</v>
          </cell>
          <cell r="R144" t="str">
            <v>8,310.00</v>
          </cell>
        </row>
        <row r="145">
          <cell r="A145" t="str">
            <v>Lançado</v>
          </cell>
          <cell r="F145">
            <v>2935343</v>
          </cell>
          <cell r="G145" t="str">
            <v>TIAGO DE BROI EIRELI EPP.</v>
          </cell>
          <cell r="I145">
            <v>4501713608</v>
          </cell>
          <cell r="L145" t="str">
            <v>000127687-1</v>
          </cell>
          <cell r="R145" t="str">
            <v>564.55</v>
          </cell>
        </row>
        <row r="146">
          <cell r="A146" t="str">
            <v>Lançado</v>
          </cell>
          <cell r="F146">
            <v>2932122</v>
          </cell>
          <cell r="G146" t="str">
            <v>ANHANGUERA COMERCIO DE</v>
          </cell>
          <cell r="I146">
            <v>4501713644</v>
          </cell>
          <cell r="L146" t="str">
            <v>001479225-3</v>
          </cell>
          <cell r="R146" t="str">
            <v>863.45</v>
          </cell>
        </row>
        <row r="147">
          <cell r="A147" t="str">
            <v>Lançado</v>
          </cell>
          <cell r="F147">
            <v>2933067</v>
          </cell>
          <cell r="G147" t="str">
            <v>LIFTEC BRASIL SUPRIMENTOS</v>
          </cell>
          <cell r="I147">
            <v>4501712458</v>
          </cell>
          <cell r="L147" t="str">
            <v>000019134-2</v>
          </cell>
          <cell r="R147" t="str">
            <v>4,763.50</v>
          </cell>
        </row>
        <row r="148">
          <cell r="A148" t="str">
            <v>Lançado</v>
          </cell>
          <cell r="F148">
            <v>2933909</v>
          </cell>
          <cell r="G148" t="str">
            <v>TIAGO DE BROI EIRELI EPP.</v>
          </cell>
          <cell r="I148">
            <v>4501712975</v>
          </cell>
          <cell r="L148" t="str">
            <v>000127328-1</v>
          </cell>
          <cell r="R148" t="str">
            <v>1,768.48</v>
          </cell>
        </row>
        <row r="149">
          <cell r="A149" t="str">
            <v>Lançado</v>
          </cell>
          <cell r="F149">
            <v>2930713</v>
          </cell>
          <cell r="G149" t="str">
            <v>ANHANGUERA COMERCIO DE</v>
          </cell>
          <cell r="I149">
            <v>4501712542</v>
          </cell>
          <cell r="L149" t="str">
            <v>001477089-3</v>
          </cell>
          <cell r="R149" t="str">
            <v>497.99</v>
          </cell>
        </row>
        <row r="150">
          <cell r="A150" t="str">
            <v>Lançado</v>
          </cell>
          <cell r="F150">
            <v>2933207</v>
          </cell>
          <cell r="G150" t="str">
            <v>TIAGO DE BROI EIRELI EPP.</v>
          </cell>
          <cell r="I150">
            <v>4501712953</v>
          </cell>
          <cell r="L150" t="str">
            <v>000127192-1</v>
          </cell>
          <cell r="R150" t="str">
            <v>231.44</v>
          </cell>
        </row>
        <row r="151">
          <cell r="A151" t="str">
            <v>Lançado</v>
          </cell>
          <cell r="F151">
            <v>2932980</v>
          </cell>
          <cell r="G151" t="str">
            <v>ROVAMEC USINAGEM LTDA. EPP.</v>
          </cell>
          <cell r="I151">
            <v>4501713602</v>
          </cell>
          <cell r="L151" t="str">
            <v>000007217-1</v>
          </cell>
          <cell r="R151" t="str">
            <v>990.00</v>
          </cell>
        </row>
        <row r="152">
          <cell r="A152" t="str">
            <v>Lançado</v>
          </cell>
          <cell r="F152">
            <v>2932396</v>
          </cell>
          <cell r="G152" t="str">
            <v>TIAGO DE BROI EIRELI EPP.</v>
          </cell>
          <cell r="I152">
            <v>4501712973</v>
          </cell>
          <cell r="L152" t="str">
            <v>000127092-1</v>
          </cell>
          <cell r="R152" t="str">
            <v>604.74</v>
          </cell>
        </row>
        <row r="153">
          <cell r="A153" t="str">
            <v>Lançado</v>
          </cell>
          <cell r="F153">
            <v>2931482</v>
          </cell>
          <cell r="G153" t="str">
            <v>PROCONNECT INSTALACOES LTDA.</v>
          </cell>
          <cell r="I153">
            <v>4501708999</v>
          </cell>
          <cell r="L153" t="str">
            <v>000003008-9</v>
          </cell>
          <cell r="R153" t="str">
            <v>30,600.00</v>
          </cell>
        </row>
        <row r="154">
          <cell r="A154" t="str">
            <v>Lançado</v>
          </cell>
          <cell r="F154">
            <v>2929607</v>
          </cell>
          <cell r="G154" t="str">
            <v>TIAGO DE BROI EIRELI EPP.</v>
          </cell>
          <cell r="I154">
            <v>4501711243</v>
          </cell>
          <cell r="L154" t="str">
            <v>000126622-1</v>
          </cell>
          <cell r="R154" t="str">
            <v>2,180.16</v>
          </cell>
        </row>
        <row r="155">
          <cell r="A155" t="str">
            <v>Lançado</v>
          </cell>
          <cell r="F155">
            <v>2929210</v>
          </cell>
          <cell r="G155" t="str">
            <v>ANHANGUERA COMERCIO DE</v>
          </cell>
          <cell r="I155">
            <v>4501712536</v>
          </cell>
          <cell r="L155" t="str">
            <v>001474988-3</v>
          </cell>
          <cell r="R155" t="str">
            <v>130.02</v>
          </cell>
        </row>
        <row r="156">
          <cell r="A156" t="str">
            <v>Lançado</v>
          </cell>
          <cell r="F156">
            <v>2928122</v>
          </cell>
          <cell r="G156" t="str">
            <v>TIAGO DE BROI EIRELI EPP.</v>
          </cell>
          <cell r="I156">
            <v>4501706360</v>
          </cell>
          <cell r="L156" t="str">
            <v>000126316-1</v>
          </cell>
          <cell r="R156" t="str">
            <v>1,271.68</v>
          </cell>
        </row>
        <row r="157">
          <cell r="A157" t="str">
            <v>Lançado</v>
          </cell>
          <cell r="F157">
            <v>2928500</v>
          </cell>
          <cell r="G157" t="str">
            <v>ZAP USINAGEM E CALDEIRARIA</v>
          </cell>
          <cell r="I157">
            <v>4501706362</v>
          </cell>
          <cell r="L157" t="str">
            <v>000003214-1</v>
          </cell>
          <cell r="R157" t="str">
            <v>653.29</v>
          </cell>
        </row>
        <row r="158">
          <cell r="A158" t="str">
            <v>Lançado</v>
          </cell>
          <cell r="F158">
            <v>2928499</v>
          </cell>
          <cell r="G158" t="str">
            <v>ZAP USINAGEM E CALDEIRARIA</v>
          </cell>
          <cell r="I158">
            <v>4501706365</v>
          </cell>
          <cell r="L158" t="str">
            <v>000003215-1</v>
          </cell>
          <cell r="R158" t="str">
            <v>2,298.62</v>
          </cell>
        </row>
        <row r="159">
          <cell r="A159" t="str">
            <v>Lançado</v>
          </cell>
          <cell r="F159">
            <v>2928454</v>
          </cell>
          <cell r="G159" t="str">
            <v>HMTG BRINDES LTDA.</v>
          </cell>
          <cell r="I159">
            <v>4501712874</v>
          </cell>
          <cell r="L159" t="str">
            <v>000001321-1</v>
          </cell>
          <cell r="R159" t="str">
            <v>3,265.65</v>
          </cell>
        </row>
        <row r="160">
          <cell r="A160" t="str">
            <v>Lançado</v>
          </cell>
          <cell r="F160">
            <v>2923948</v>
          </cell>
          <cell r="G160" t="str">
            <v>TIAGO DE BROI EIRELI EPP.</v>
          </cell>
          <cell r="I160">
            <v>4501709507</v>
          </cell>
          <cell r="L160" t="str">
            <v>000125497-1</v>
          </cell>
          <cell r="R160" t="str">
            <v>6,653.00</v>
          </cell>
        </row>
        <row r="161">
          <cell r="A161" t="str">
            <v>Lançado</v>
          </cell>
          <cell r="F161">
            <v>2930212</v>
          </cell>
          <cell r="G161" t="str">
            <v>VERA A. BIANCHINI AFONSO ADESIVOS -</v>
          </cell>
          <cell r="I161">
            <v>4501713191</v>
          </cell>
          <cell r="L161" t="str">
            <v>000002486-1</v>
          </cell>
          <cell r="R161" t="str">
            <v>1,440.00</v>
          </cell>
        </row>
        <row r="162">
          <cell r="A162" t="str">
            <v>Lançado</v>
          </cell>
          <cell r="F162">
            <v>2928011</v>
          </cell>
          <cell r="G162" t="str">
            <v>TIAGO DE BROI EIRELI EPP.</v>
          </cell>
          <cell r="I162">
            <v>4501711510</v>
          </cell>
          <cell r="L162" t="str">
            <v>000126306-1</v>
          </cell>
          <cell r="R162" t="str">
            <v>1,676.07</v>
          </cell>
        </row>
        <row r="163">
          <cell r="A163" t="str">
            <v>Lançado</v>
          </cell>
          <cell r="F163">
            <v>2922134</v>
          </cell>
          <cell r="G163" t="str">
            <v>ANHANGUERA COMERCIO DE</v>
          </cell>
          <cell r="I163">
            <v>4501708373</v>
          </cell>
          <cell r="L163" t="str">
            <v>001464300-3</v>
          </cell>
          <cell r="R163" t="str">
            <v>12,990.00</v>
          </cell>
        </row>
        <row r="164">
          <cell r="A164" t="str">
            <v>Lançado</v>
          </cell>
          <cell r="F164">
            <v>2923949</v>
          </cell>
          <cell r="G164" t="str">
            <v>TIAGO DE BROI EIRELI EPP.</v>
          </cell>
          <cell r="I164">
            <v>4501710375</v>
          </cell>
          <cell r="L164" t="str">
            <v>000125498-1</v>
          </cell>
          <cell r="R164" t="str">
            <v>545.48</v>
          </cell>
        </row>
        <row r="165">
          <cell r="A165" t="str">
            <v>Lançado</v>
          </cell>
          <cell r="F165">
            <v>2927599</v>
          </cell>
          <cell r="G165" t="str">
            <v>ROVAMEC USINAGEM LTDA. EPP.</v>
          </cell>
          <cell r="I165">
            <v>4501710242</v>
          </cell>
          <cell r="L165" t="str">
            <v>000007199-1</v>
          </cell>
          <cell r="R165" t="str">
            <v>2,985.00</v>
          </cell>
        </row>
        <row r="166">
          <cell r="A166" t="str">
            <v>Lançado</v>
          </cell>
          <cell r="F166">
            <v>2927595</v>
          </cell>
          <cell r="G166" t="str">
            <v>ROVAMEC USINAGEM LTDA. EPP.</v>
          </cell>
          <cell r="I166">
            <v>4501711799</v>
          </cell>
          <cell r="L166" t="str">
            <v>000007196-1</v>
          </cell>
          <cell r="R166" t="str">
            <v>560.00</v>
          </cell>
        </row>
        <row r="167">
          <cell r="A167" t="str">
            <v>Lançado</v>
          </cell>
          <cell r="F167">
            <v>2927594</v>
          </cell>
          <cell r="G167" t="str">
            <v>ROVAMEC USINAGEM LTDA. EPP.</v>
          </cell>
          <cell r="I167">
            <v>4501711809</v>
          </cell>
          <cell r="L167" t="str">
            <v>000007195-1</v>
          </cell>
          <cell r="R167" t="str">
            <v>490.00</v>
          </cell>
        </row>
        <row r="168">
          <cell r="A168" t="str">
            <v>Lançado</v>
          </cell>
          <cell r="F168">
            <v>2927591</v>
          </cell>
          <cell r="G168" t="str">
            <v>ROVAMEC USINAGEM LTDA. EPP.</v>
          </cell>
          <cell r="I168">
            <v>4501711812</v>
          </cell>
          <cell r="L168" t="str">
            <v>000007194-1</v>
          </cell>
          <cell r="R168" t="str">
            <v>480.00</v>
          </cell>
        </row>
        <row r="169">
          <cell r="A169" t="str">
            <v>Lançado</v>
          </cell>
          <cell r="F169">
            <v>2921170</v>
          </cell>
          <cell r="G169" t="str">
            <v>HILTI DO BRASIL COMERCIAL LTDA.</v>
          </cell>
          <cell r="I169">
            <v>4501708378</v>
          </cell>
          <cell r="L169" t="str">
            <v>000033924-1</v>
          </cell>
          <cell r="R169" t="str">
            <v>15,894.51</v>
          </cell>
        </row>
        <row r="170">
          <cell r="A170" t="str">
            <v>Lançado</v>
          </cell>
          <cell r="F170">
            <v>2926678</v>
          </cell>
          <cell r="G170" t="str">
            <v>MOTA - USINAGEM E</v>
          </cell>
          <cell r="I170">
            <v>4501707908</v>
          </cell>
          <cell r="L170" t="str">
            <v>000006918-1</v>
          </cell>
          <cell r="R170" t="str">
            <v>21,965.00</v>
          </cell>
        </row>
        <row r="171">
          <cell r="A171" t="str">
            <v>Lançado</v>
          </cell>
          <cell r="F171">
            <v>2925730</v>
          </cell>
          <cell r="G171" t="str">
            <v>ANHANGUERA COMERCIO DE</v>
          </cell>
          <cell r="I171">
            <v>4501711258</v>
          </cell>
          <cell r="L171" t="str">
            <v>001469513-3</v>
          </cell>
          <cell r="R171" t="str">
            <v>123.60</v>
          </cell>
        </row>
        <row r="172">
          <cell r="A172" t="str">
            <v>Lançado</v>
          </cell>
          <cell r="F172">
            <v>2925589</v>
          </cell>
          <cell r="G172" t="str">
            <v>ANHANGUERA COMERCIO DE</v>
          </cell>
          <cell r="I172">
            <v>4501711506</v>
          </cell>
          <cell r="L172" t="str">
            <v>001469194-3</v>
          </cell>
          <cell r="R172" t="str">
            <v>5,319.08</v>
          </cell>
        </row>
        <row r="173">
          <cell r="A173" t="str">
            <v>Lançado</v>
          </cell>
          <cell r="F173">
            <v>2924037</v>
          </cell>
          <cell r="G173" t="str">
            <v>TECNOCRIMPER INDUSTRIA E</v>
          </cell>
          <cell r="I173">
            <v>4501698653</v>
          </cell>
          <cell r="L173" t="str">
            <v>000032910-1</v>
          </cell>
          <cell r="R173" t="str">
            <v>1,206.48</v>
          </cell>
        </row>
        <row r="174">
          <cell r="A174" t="str">
            <v>Lançado</v>
          </cell>
          <cell r="F174">
            <v>2925735</v>
          </cell>
          <cell r="G174" t="str">
            <v>ESTRUTURAS E EQUIPAMENTOS</v>
          </cell>
          <cell r="I174">
            <v>4501706549</v>
          </cell>
          <cell r="L174" t="str">
            <v>000000689-9</v>
          </cell>
          <cell r="R174" t="str">
            <v>1,800.00</v>
          </cell>
        </row>
        <row r="175">
          <cell r="A175" t="str">
            <v>Lançado</v>
          </cell>
          <cell r="F175">
            <v>2925413</v>
          </cell>
          <cell r="G175" t="str">
            <v>VERA A. BIANCHINI AFONSO ADESIVOS -</v>
          </cell>
          <cell r="I175">
            <v>4501711521</v>
          </cell>
          <cell r="L175" t="str">
            <v>000002484-1</v>
          </cell>
          <cell r="R175" t="str">
            <v>1,440.00</v>
          </cell>
        </row>
        <row r="176">
          <cell r="A176" t="str">
            <v>Lançado</v>
          </cell>
          <cell r="F176">
            <v>2922687</v>
          </cell>
          <cell r="G176" t="str">
            <v>ANHANGUERA COMERCIO DE</v>
          </cell>
          <cell r="I176">
            <v>4501710194</v>
          </cell>
          <cell r="L176" t="str">
            <v>001464803-3</v>
          </cell>
          <cell r="R176" t="str">
            <v>6,860.71</v>
          </cell>
        </row>
        <row r="177">
          <cell r="A177" t="str">
            <v>Lançado</v>
          </cell>
          <cell r="F177">
            <v>2923546</v>
          </cell>
          <cell r="G177" t="str">
            <v>HMTG BRINDES LTDA.</v>
          </cell>
          <cell r="I177">
            <v>4501710190</v>
          </cell>
          <cell r="L177" t="str">
            <v>000001306-1</v>
          </cell>
          <cell r="R177" t="str">
            <v>1,097.82</v>
          </cell>
        </row>
        <row r="178">
          <cell r="A178" t="str">
            <v>Lançado</v>
          </cell>
          <cell r="F178">
            <v>2923433</v>
          </cell>
          <cell r="G178" t="str">
            <v>TIAGO DE BROI EIRELI EPP.</v>
          </cell>
          <cell r="I178">
            <v>4501710241</v>
          </cell>
          <cell r="L178" t="str">
            <v>000125400-1</v>
          </cell>
          <cell r="R178" t="str">
            <v>516.28</v>
          </cell>
        </row>
        <row r="179">
          <cell r="A179" t="str">
            <v>Lançado</v>
          </cell>
          <cell r="F179">
            <v>2918545</v>
          </cell>
          <cell r="G179" t="str">
            <v>AUTOMASAFETY CONSULTORIA IND. E</v>
          </cell>
          <cell r="I179">
            <v>4501708729</v>
          </cell>
          <cell r="L179" t="str">
            <v>000001023-9</v>
          </cell>
          <cell r="R179" t="str">
            <v>7,470.30</v>
          </cell>
        </row>
        <row r="180">
          <cell r="A180" t="str">
            <v>Lançado</v>
          </cell>
          <cell r="F180">
            <v>2917634</v>
          </cell>
          <cell r="G180" t="str">
            <v>ROVAMEC USINAGEM LTDA. EPP.</v>
          </cell>
          <cell r="I180">
            <v>4501708692</v>
          </cell>
          <cell r="L180" t="str">
            <v>000007167-1</v>
          </cell>
          <cell r="R180" t="str">
            <v>420.00</v>
          </cell>
        </row>
        <row r="181">
          <cell r="A181" t="str">
            <v>Lançado</v>
          </cell>
          <cell r="F181">
            <v>2891516</v>
          </cell>
          <cell r="G181" t="str">
            <v>IMAGINFLEX COM. DE ARTIGOS PARA</v>
          </cell>
          <cell r="I181">
            <v>4501697248</v>
          </cell>
          <cell r="L181" t="str">
            <v>000031120-1</v>
          </cell>
          <cell r="R181" t="str">
            <v>1,594.62</v>
          </cell>
        </row>
        <row r="182">
          <cell r="A182" t="str">
            <v>Lançado</v>
          </cell>
          <cell r="F182">
            <v>2922618</v>
          </cell>
          <cell r="G182" t="str">
            <v>ROVAMEC USINAGEM LTDA. EPP.</v>
          </cell>
          <cell r="I182">
            <v>4501710728</v>
          </cell>
          <cell r="L182" t="str">
            <v>000007178-1</v>
          </cell>
          <cell r="R182" t="str">
            <v>150.00</v>
          </cell>
        </row>
        <row r="183">
          <cell r="A183" t="str">
            <v>Lançado</v>
          </cell>
          <cell r="F183">
            <v>2919812</v>
          </cell>
          <cell r="G183" t="str">
            <v>TIAGO DE BROI EIRELI EPP.</v>
          </cell>
          <cell r="I183">
            <v>4501708871</v>
          </cell>
          <cell r="L183" t="str">
            <v>000124913-1</v>
          </cell>
          <cell r="R183" t="str">
            <v>2,454.40</v>
          </cell>
        </row>
        <row r="184">
          <cell r="A184" t="str">
            <v>Lançado</v>
          </cell>
          <cell r="F184">
            <v>2920168</v>
          </cell>
          <cell r="G184" t="str">
            <v>TRANSPORTADORA GALIEGO LTDA. EPP.</v>
          </cell>
          <cell r="I184">
            <v>4501707839</v>
          </cell>
          <cell r="L184" t="str">
            <v>000004793-9</v>
          </cell>
          <cell r="R184" t="str">
            <v>20,150.00</v>
          </cell>
        </row>
        <row r="185">
          <cell r="A185" t="str">
            <v>Lançado</v>
          </cell>
          <cell r="F185">
            <v>2917249</v>
          </cell>
          <cell r="G185" t="str">
            <v>TIAGO DE BROI EIRELI EPP.</v>
          </cell>
          <cell r="I185">
            <v>4501708601</v>
          </cell>
          <cell r="L185" t="str">
            <v>000124468-1</v>
          </cell>
          <cell r="R185" t="str">
            <v>1,665.06</v>
          </cell>
        </row>
        <row r="186">
          <cell r="A186" t="str">
            <v>Lançado</v>
          </cell>
          <cell r="F186">
            <v>2918550</v>
          </cell>
          <cell r="G186" t="str">
            <v>AUTOMASAFETY CONSULTORIA IND. E</v>
          </cell>
          <cell r="I186">
            <v>4501708628</v>
          </cell>
          <cell r="L186" t="str">
            <v>000001022-9</v>
          </cell>
          <cell r="R186" t="str">
            <v>32,785.00</v>
          </cell>
        </row>
        <row r="187">
          <cell r="A187" t="str">
            <v>Lançado</v>
          </cell>
          <cell r="F187">
            <v>2916741</v>
          </cell>
          <cell r="G187" t="str">
            <v>MB - COMERCIO E PRESTACAO DE SERVIC</v>
          </cell>
          <cell r="I187">
            <v>4501707459</v>
          </cell>
          <cell r="L187" t="str">
            <v>000000891-1</v>
          </cell>
          <cell r="R187" t="str">
            <v>1,425.60</v>
          </cell>
        </row>
        <row r="188">
          <cell r="A188" t="str">
            <v>Lançado</v>
          </cell>
          <cell r="F188">
            <v>2915847</v>
          </cell>
          <cell r="G188" t="str">
            <v>ANHANGUERA COMERCIO DE</v>
          </cell>
          <cell r="I188">
            <v>4501708373</v>
          </cell>
          <cell r="L188" t="str">
            <v>001455166-3</v>
          </cell>
          <cell r="R188" t="str">
            <v>6,675.04</v>
          </cell>
        </row>
        <row r="189">
          <cell r="A189" t="str">
            <v>Lançado</v>
          </cell>
          <cell r="F189">
            <v>2913952</v>
          </cell>
          <cell r="G189" t="str">
            <v>TIAGO DE BROI EIRELI EPP.</v>
          </cell>
          <cell r="I189">
            <v>4501706869</v>
          </cell>
          <cell r="L189" t="str">
            <v>000123798-1</v>
          </cell>
          <cell r="R189" t="str">
            <v>1,320.95</v>
          </cell>
        </row>
        <row r="190">
          <cell r="A190" t="str">
            <v>Lançado</v>
          </cell>
          <cell r="F190">
            <v>2910776</v>
          </cell>
          <cell r="G190" t="str">
            <v>ENERGYARC INDUSTRIAL LTDA.</v>
          </cell>
          <cell r="I190">
            <v>4501706875</v>
          </cell>
          <cell r="L190" t="str">
            <v>000077661-1</v>
          </cell>
          <cell r="R190" t="str">
            <v>2,350.00</v>
          </cell>
        </row>
        <row r="191">
          <cell r="A191" t="str">
            <v>Lançado</v>
          </cell>
          <cell r="F191">
            <v>2909746</v>
          </cell>
          <cell r="G191" t="str">
            <v>ANHANGUERA COMERCIO DE</v>
          </cell>
          <cell r="I191">
            <v>4501703548</v>
          </cell>
          <cell r="L191" t="str">
            <v>001445578-3</v>
          </cell>
          <cell r="R191" t="str">
            <v>2,494.20</v>
          </cell>
        </row>
        <row r="192">
          <cell r="A192" t="str">
            <v>Lançado</v>
          </cell>
          <cell r="F192">
            <v>2912973</v>
          </cell>
          <cell r="G192" t="str">
            <v>TIAGO DE BROI EIRELI EPP.</v>
          </cell>
          <cell r="I192">
            <v>4501706868</v>
          </cell>
          <cell r="L192" t="str">
            <v>000123643-1</v>
          </cell>
          <cell r="R192" t="str">
            <v>648.30</v>
          </cell>
        </row>
        <row r="193">
          <cell r="A193" t="str">
            <v>Lançado</v>
          </cell>
          <cell r="F193">
            <v>2912223</v>
          </cell>
          <cell r="G193" t="str">
            <v>TIAGO DE BROI EIRELI EPP.</v>
          </cell>
          <cell r="I193">
            <v>4501698646</v>
          </cell>
          <cell r="L193" t="str">
            <v>000123470-1</v>
          </cell>
          <cell r="R193" t="str">
            <v>1,632.40</v>
          </cell>
        </row>
        <row r="194">
          <cell r="A194" t="str">
            <v>Lançado</v>
          </cell>
          <cell r="F194">
            <v>2903797</v>
          </cell>
          <cell r="G194" t="str">
            <v>TECNOCRIMPER INDUSTRIA E</v>
          </cell>
          <cell r="I194">
            <v>4501698653</v>
          </cell>
          <cell r="L194" t="str">
            <v>000032510-1</v>
          </cell>
          <cell r="R194" t="str">
            <v>2,620.84</v>
          </cell>
        </row>
        <row r="195">
          <cell r="A195" t="str">
            <v>Lançado</v>
          </cell>
          <cell r="F195">
            <v>2907681</v>
          </cell>
          <cell r="G195" t="str">
            <v>C Y H IMPORTACAO E EXPORTACAO LTDA.</v>
          </cell>
          <cell r="I195">
            <v>4501705975</v>
          </cell>
          <cell r="L195" t="str">
            <v>000107202-1</v>
          </cell>
          <cell r="R195" t="str">
            <v>4,301.22</v>
          </cell>
        </row>
        <row r="196">
          <cell r="A196" t="str">
            <v>Lançado</v>
          </cell>
          <cell r="F196">
            <v>2905835</v>
          </cell>
          <cell r="G196" t="str">
            <v>TIAGO DE BROI EIRELI EPP.</v>
          </cell>
          <cell r="I196">
            <v>4501704984</v>
          </cell>
          <cell r="L196" t="str">
            <v>000122426-1</v>
          </cell>
          <cell r="R196" t="str">
            <v>2,399.70</v>
          </cell>
        </row>
        <row r="197">
          <cell r="A197" t="str">
            <v>Lançado</v>
          </cell>
          <cell r="F197">
            <v>2905390</v>
          </cell>
          <cell r="G197" t="str">
            <v>TIAGO DE BROI EIRELI EPP.</v>
          </cell>
          <cell r="I197">
            <v>4501704981</v>
          </cell>
          <cell r="L197" t="str">
            <v>000122385-1</v>
          </cell>
          <cell r="R197" t="str">
            <v>2,963.20</v>
          </cell>
        </row>
        <row r="198">
          <cell r="A198" t="str">
            <v>Lançado</v>
          </cell>
          <cell r="F198">
            <v>2907259</v>
          </cell>
          <cell r="G198" t="str">
            <v>ANHANGUERA COMERCIO DE</v>
          </cell>
          <cell r="I198">
            <v>4501705473</v>
          </cell>
          <cell r="L198" t="str">
            <v>001441034-3</v>
          </cell>
          <cell r="R198" t="str">
            <v>250.92</v>
          </cell>
        </row>
        <row r="199">
          <cell r="A199" t="str">
            <v>Lançado</v>
          </cell>
          <cell r="F199">
            <v>2906333</v>
          </cell>
          <cell r="G199" t="str">
            <v>ANHANGUERA COMERCIO DE</v>
          </cell>
          <cell r="I199">
            <v>4501703662</v>
          </cell>
          <cell r="L199" t="str">
            <v>001439577-3</v>
          </cell>
          <cell r="R199" t="str">
            <v>196.78</v>
          </cell>
        </row>
        <row r="200">
          <cell r="A200" t="str">
            <v>Lançado</v>
          </cell>
          <cell r="F200">
            <v>2905857</v>
          </cell>
          <cell r="G200" t="str">
            <v>ANHANGUERA COMERCIO DE</v>
          </cell>
          <cell r="I200">
            <v>4501705723</v>
          </cell>
          <cell r="L200" t="str">
            <v>001438653-3</v>
          </cell>
          <cell r="R200" t="str">
            <v>549.90</v>
          </cell>
        </row>
        <row r="201">
          <cell r="A201" t="str">
            <v>Lançado</v>
          </cell>
          <cell r="F201">
            <v>2906166</v>
          </cell>
          <cell r="G201" t="str">
            <v>ENERGYARC INDUSTRIAL LTDA.</v>
          </cell>
          <cell r="I201">
            <v>4501705131</v>
          </cell>
          <cell r="L201" t="str">
            <v>000077426-1</v>
          </cell>
          <cell r="R201" t="str">
            <v>1,181.40</v>
          </cell>
        </row>
        <row r="202">
          <cell r="A202" t="str">
            <v>Lançado</v>
          </cell>
          <cell r="F202">
            <v>2904267</v>
          </cell>
          <cell r="G202" t="str">
            <v>ANHANGUERA COMERCIO DE</v>
          </cell>
          <cell r="I202">
            <v>4501703662</v>
          </cell>
          <cell r="L202" t="str">
            <v>001436003-3</v>
          </cell>
          <cell r="R202" t="str">
            <v>231.32</v>
          </cell>
        </row>
        <row r="203">
          <cell r="A203" t="str">
            <v>Lançado</v>
          </cell>
          <cell r="F203">
            <v>2904186</v>
          </cell>
          <cell r="G203" t="str">
            <v>ANHANGUERA COMERCIO DE</v>
          </cell>
          <cell r="I203">
            <v>4501702075</v>
          </cell>
          <cell r="L203" t="str">
            <v>001435907-3</v>
          </cell>
          <cell r="R203" t="str">
            <v>50.52</v>
          </cell>
        </row>
        <row r="204">
          <cell r="A204" t="str">
            <v>Lançado</v>
          </cell>
          <cell r="F204">
            <v>2904641</v>
          </cell>
          <cell r="G204" t="str">
            <v>TIAGO DE BROI EIRELI EPP.</v>
          </cell>
          <cell r="I204">
            <v>4501697137</v>
          </cell>
          <cell r="L204" t="str">
            <v>000122252-1</v>
          </cell>
          <cell r="R204" t="str">
            <v>55.00</v>
          </cell>
        </row>
        <row r="205">
          <cell r="A205" t="str">
            <v>Lançado</v>
          </cell>
          <cell r="F205">
            <v>2898810</v>
          </cell>
          <cell r="G205" t="str">
            <v>HMTG BRINDES LTDA.</v>
          </cell>
          <cell r="I205">
            <v>4501703173</v>
          </cell>
          <cell r="L205" t="str">
            <v>000001263-1</v>
          </cell>
          <cell r="R205" t="str">
            <v>587.00</v>
          </cell>
        </row>
        <row r="206">
          <cell r="A206" t="str">
            <v>Lançado</v>
          </cell>
          <cell r="F206">
            <v>2903637</v>
          </cell>
          <cell r="G206" t="str">
            <v>TIAGO DE BROI EIRELI EPP.</v>
          </cell>
          <cell r="I206">
            <v>4501703684</v>
          </cell>
          <cell r="L206" t="str">
            <v>000121991-1</v>
          </cell>
          <cell r="R206" t="str">
            <v>5,631.40</v>
          </cell>
        </row>
        <row r="207">
          <cell r="A207" t="str">
            <v>Lançado</v>
          </cell>
          <cell r="F207">
            <v>2900472</v>
          </cell>
          <cell r="G207" t="str">
            <v>ANHANGUERA COMERCIO DE</v>
          </cell>
          <cell r="I207">
            <v>4501703662</v>
          </cell>
          <cell r="L207" t="str">
            <v>001429921-3</v>
          </cell>
          <cell r="R207" t="str">
            <v>2,765.03</v>
          </cell>
        </row>
        <row r="208">
          <cell r="A208" t="str">
            <v>Lançado</v>
          </cell>
          <cell r="F208">
            <v>2904282</v>
          </cell>
          <cell r="G208" t="str">
            <v>AIRGAS BRASIL REPRESENTACAO</v>
          </cell>
          <cell r="I208">
            <v>4501705051</v>
          </cell>
          <cell r="L208" t="str">
            <v>000008600-1</v>
          </cell>
          <cell r="R208" t="str">
            <v>799.50</v>
          </cell>
        </row>
        <row r="209">
          <cell r="A209" t="str">
            <v>Lançado</v>
          </cell>
          <cell r="F209">
            <v>2896995</v>
          </cell>
          <cell r="G209" t="str">
            <v>ANHANGUERA COMERCIO DE</v>
          </cell>
          <cell r="I209">
            <v>4501703169</v>
          </cell>
          <cell r="L209" t="str">
            <v>001425053-3</v>
          </cell>
          <cell r="R209" t="str">
            <v>631.27</v>
          </cell>
        </row>
        <row r="210">
          <cell r="A210" t="str">
            <v>Lançado</v>
          </cell>
          <cell r="F210">
            <v>2897640</v>
          </cell>
          <cell r="G210" t="str">
            <v>TIAGO DE BROI EIRELI EPP.</v>
          </cell>
          <cell r="I210">
            <v>4501702938</v>
          </cell>
          <cell r="L210" t="str">
            <v>000121007-1</v>
          </cell>
          <cell r="R210" t="str">
            <v>146.60</v>
          </cell>
        </row>
        <row r="211">
          <cell r="A211" t="str">
            <v>Lançado</v>
          </cell>
          <cell r="F211">
            <v>2881561</v>
          </cell>
          <cell r="G211" t="str">
            <v>TIAGO DE BROI EIRELI EPP.</v>
          </cell>
          <cell r="I211">
            <v>4501698927</v>
          </cell>
          <cell r="L211" t="str">
            <v>000117818-1</v>
          </cell>
          <cell r="R211" t="str">
            <v>1,115.30</v>
          </cell>
        </row>
        <row r="212">
          <cell r="A212" t="str">
            <v>Lançado</v>
          </cell>
          <cell r="F212">
            <v>2896767</v>
          </cell>
          <cell r="G212" t="str">
            <v>TIAGO DE BROI EIRELI EPP.</v>
          </cell>
          <cell r="I212">
            <v>4501702927</v>
          </cell>
          <cell r="L212" t="str">
            <v>000120797-1</v>
          </cell>
          <cell r="R212" t="str">
            <v>2,454.40</v>
          </cell>
        </row>
        <row r="213">
          <cell r="A213" t="str">
            <v>Lançado</v>
          </cell>
          <cell r="F213">
            <v>2896283</v>
          </cell>
          <cell r="G213" t="str">
            <v>TIAGO DE BROI EIRELI EPP.</v>
          </cell>
          <cell r="I213">
            <v>4501702984</v>
          </cell>
          <cell r="L213" t="str">
            <v>000120722-1</v>
          </cell>
          <cell r="R213" t="str">
            <v>1,620.80</v>
          </cell>
        </row>
        <row r="214">
          <cell r="A214" t="str">
            <v>Lançado</v>
          </cell>
          <cell r="F214">
            <v>2895718</v>
          </cell>
          <cell r="G214" t="str">
            <v>TIAGO DE BROI EIRELI EPP.</v>
          </cell>
          <cell r="I214">
            <v>4501702139</v>
          </cell>
          <cell r="L214" t="str">
            <v>000120615-1</v>
          </cell>
          <cell r="R214" t="str">
            <v>1,969.13</v>
          </cell>
        </row>
        <row r="215">
          <cell r="A215" t="str">
            <v>Lançado</v>
          </cell>
          <cell r="F215">
            <v>2893026</v>
          </cell>
          <cell r="G215" t="str">
            <v>ANHANGUERA COMERCIO DE</v>
          </cell>
          <cell r="I215">
            <v>4501701889</v>
          </cell>
          <cell r="L215" t="str">
            <v>001419356-3</v>
          </cell>
          <cell r="R215" t="str">
            <v>108.26</v>
          </cell>
        </row>
        <row r="216">
          <cell r="A216" t="str">
            <v>Lançado</v>
          </cell>
          <cell r="F216">
            <v>2893025</v>
          </cell>
          <cell r="G216" t="str">
            <v>ANHANGUERA COMERCIO DE</v>
          </cell>
          <cell r="I216">
            <v>4501702075</v>
          </cell>
          <cell r="L216" t="str">
            <v>001419351-3</v>
          </cell>
          <cell r="R216" t="str">
            <v>118.19</v>
          </cell>
        </row>
        <row r="217">
          <cell r="A217" t="str">
            <v>Lançado</v>
          </cell>
          <cell r="F217">
            <v>2892619</v>
          </cell>
          <cell r="G217" t="str">
            <v>ANHANGUERA COMERCIO DE</v>
          </cell>
          <cell r="I217">
            <v>4501702075</v>
          </cell>
          <cell r="L217" t="str">
            <v>001418764-3</v>
          </cell>
          <cell r="R217" t="str">
            <v>2,679.55</v>
          </cell>
        </row>
        <row r="218">
          <cell r="A218" t="str">
            <v>Lançado</v>
          </cell>
          <cell r="F218">
            <v>2892606</v>
          </cell>
          <cell r="G218" t="str">
            <v>ANHANGUERA COMERCIO DE</v>
          </cell>
          <cell r="I218">
            <v>4501702004</v>
          </cell>
          <cell r="L218" t="str">
            <v>001418742-3</v>
          </cell>
          <cell r="R218" t="str">
            <v>1,076.54</v>
          </cell>
        </row>
        <row r="219">
          <cell r="A219" t="str">
            <v>Lançado</v>
          </cell>
          <cell r="F219">
            <v>2890984</v>
          </cell>
          <cell r="G219" t="str">
            <v>ANHANGUERA COMERCIO DE</v>
          </cell>
          <cell r="I219">
            <v>4501698675</v>
          </cell>
          <cell r="L219" t="str">
            <v>001415721-3</v>
          </cell>
          <cell r="R219" t="str">
            <v>2,237.95</v>
          </cell>
        </row>
        <row r="220">
          <cell r="A220" t="str">
            <v>Lançado</v>
          </cell>
          <cell r="F220">
            <v>2889746</v>
          </cell>
          <cell r="G220" t="str">
            <v>ANHANGUERA COMERCIO DE</v>
          </cell>
          <cell r="I220">
            <v>4501701272</v>
          </cell>
          <cell r="L220" t="str">
            <v>001414138-3</v>
          </cell>
          <cell r="R220" t="str">
            <v>425.20</v>
          </cell>
        </row>
        <row r="221">
          <cell r="A221" t="str">
            <v>Lançado</v>
          </cell>
          <cell r="F221">
            <v>2893803</v>
          </cell>
          <cell r="G221" t="str">
            <v>TIAGO DE BROI EIRELI EPP.</v>
          </cell>
          <cell r="I221">
            <v>4501701882</v>
          </cell>
          <cell r="L221" t="str">
            <v>000120250-1</v>
          </cell>
          <cell r="R221" t="str">
            <v>991.50</v>
          </cell>
        </row>
        <row r="222">
          <cell r="A222" t="str">
            <v>Lançado</v>
          </cell>
          <cell r="F222">
            <v>2891242</v>
          </cell>
          <cell r="G222" t="str">
            <v>JEDAL REDENTOR INDUSTRIA E</v>
          </cell>
          <cell r="I222">
            <v>4501698650</v>
          </cell>
          <cell r="L222" t="str">
            <v>000124103-1</v>
          </cell>
          <cell r="R222" t="str">
            <v>5,064.18</v>
          </cell>
        </row>
        <row r="223">
          <cell r="A223" t="str">
            <v>Lançado</v>
          </cell>
          <cell r="F223">
            <v>2891172</v>
          </cell>
          <cell r="G223" t="str">
            <v>TIAGO DE BROI EIRELI EPP.</v>
          </cell>
          <cell r="I223">
            <v>4501700834</v>
          </cell>
          <cell r="L223" t="str">
            <v>000119712-1</v>
          </cell>
          <cell r="R223" t="str">
            <v>240.82</v>
          </cell>
        </row>
        <row r="224">
          <cell r="A224" t="str">
            <v>Lançado</v>
          </cell>
          <cell r="F224">
            <v>2890994</v>
          </cell>
          <cell r="G224" t="str">
            <v>TIAGO DE BROI EIRELI EPP.</v>
          </cell>
          <cell r="I224">
            <v>4501698647</v>
          </cell>
          <cell r="L224" t="str">
            <v>000119571-1</v>
          </cell>
          <cell r="R224" t="str">
            <v>86.00</v>
          </cell>
        </row>
        <row r="225">
          <cell r="A225" t="str">
            <v>Lançado</v>
          </cell>
          <cell r="F225">
            <v>2889367</v>
          </cell>
          <cell r="G225" t="str">
            <v>TIAGO DE BROI EIRELI EPP.</v>
          </cell>
          <cell r="I225">
            <v>4501700541</v>
          </cell>
          <cell r="L225" t="str">
            <v>000119393-1</v>
          </cell>
          <cell r="R225" t="str">
            <v>716.10</v>
          </cell>
        </row>
        <row r="226">
          <cell r="A226" t="str">
            <v>Lançado</v>
          </cell>
          <cell r="F226">
            <v>2888956</v>
          </cell>
          <cell r="G226" t="str">
            <v>TIAGO DE BROI EIRELI EPP.</v>
          </cell>
          <cell r="I226">
            <v>4501700540</v>
          </cell>
          <cell r="L226" t="str">
            <v>000119335-1</v>
          </cell>
          <cell r="R226" t="str">
            <v>159.30</v>
          </cell>
        </row>
        <row r="227">
          <cell r="A227" t="str">
            <v>Lançado</v>
          </cell>
          <cell r="F227">
            <v>2888955</v>
          </cell>
          <cell r="G227" t="str">
            <v>TIAGO DE BROI EIRELI EPP.</v>
          </cell>
          <cell r="I227">
            <v>4501700832</v>
          </cell>
          <cell r="L227" t="str">
            <v>000119334-1</v>
          </cell>
          <cell r="R227" t="str">
            <v>449.98</v>
          </cell>
        </row>
        <row r="228">
          <cell r="A228" t="str">
            <v>Lançado</v>
          </cell>
          <cell r="F228">
            <v>2886021</v>
          </cell>
          <cell r="G228" t="str">
            <v>ANHANGUERA COMERCIO DE</v>
          </cell>
          <cell r="I228">
            <v>4501696599</v>
          </cell>
          <cell r="L228" t="str">
            <v>001407880-3</v>
          </cell>
          <cell r="R228" t="str">
            <v>1,014.98</v>
          </cell>
        </row>
        <row r="229">
          <cell r="A229" t="str">
            <v>Lançado</v>
          </cell>
          <cell r="F229">
            <v>2887818</v>
          </cell>
          <cell r="G229" t="str">
            <v>TIAGO DE BROI EIRELI EPP.</v>
          </cell>
          <cell r="I229">
            <v>4501699154</v>
          </cell>
          <cell r="L229" t="str">
            <v>000119120-1</v>
          </cell>
          <cell r="R229" t="str">
            <v>5,758.40</v>
          </cell>
        </row>
        <row r="230">
          <cell r="A230" t="str">
            <v>Lançado</v>
          </cell>
          <cell r="F230">
            <v>2886211</v>
          </cell>
          <cell r="G230" t="str">
            <v>TIAGO DE BROI EIRELI EPP.</v>
          </cell>
          <cell r="I230">
            <v>4501699152</v>
          </cell>
          <cell r="L230" t="str">
            <v>000118774-1</v>
          </cell>
          <cell r="R230" t="str">
            <v>3,241.60</v>
          </cell>
        </row>
        <row r="231">
          <cell r="A231" t="str">
            <v>Lançado</v>
          </cell>
          <cell r="F231">
            <v>2885989</v>
          </cell>
          <cell r="G231" t="str">
            <v>TIAGO DE BROI EIRELI EPP.</v>
          </cell>
          <cell r="I231">
            <v>4501700121</v>
          </cell>
          <cell r="L231" t="str">
            <v>000118719-1</v>
          </cell>
          <cell r="R231" t="str">
            <v>67.35</v>
          </cell>
        </row>
        <row r="232">
          <cell r="A232" t="str">
            <v>Lançado</v>
          </cell>
          <cell r="F232">
            <v>2882863</v>
          </cell>
          <cell r="G232" t="str">
            <v>ANHANGUERA COMERCIO DE</v>
          </cell>
          <cell r="I232">
            <v>4501696599</v>
          </cell>
          <cell r="L232" t="str">
            <v>001403126-3</v>
          </cell>
          <cell r="R232" t="str">
            <v>2,482.82</v>
          </cell>
        </row>
        <row r="233">
          <cell r="A233" t="str">
            <v>Lançado</v>
          </cell>
          <cell r="F233">
            <v>2885292</v>
          </cell>
          <cell r="G233" t="str">
            <v>TIAGO DE BROI EIRELI EPP.</v>
          </cell>
          <cell r="I233">
            <v>4501699156</v>
          </cell>
          <cell r="L233" t="str">
            <v>000118575-1</v>
          </cell>
          <cell r="R233" t="str">
            <v>480.00</v>
          </cell>
        </row>
        <row r="234">
          <cell r="A234" t="str">
            <v>Lançado</v>
          </cell>
          <cell r="F234">
            <v>2883308</v>
          </cell>
          <cell r="G234" t="str">
            <v>C.N.B. COPY COLOR SERV.</v>
          </cell>
          <cell r="I234">
            <v>4501697110</v>
          </cell>
          <cell r="L234" t="str">
            <v>000010047-9</v>
          </cell>
          <cell r="R234" t="str">
            <v>340.00</v>
          </cell>
        </row>
        <row r="235">
          <cell r="A235" t="str">
            <v>Lançado</v>
          </cell>
          <cell r="F235">
            <v>2882317</v>
          </cell>
          <cell r="G235" t="str">
            <v>TIAGO DE BROI EIRELI EPP.</v>
          </cell>
          <cell r="I235">
            <v>4501698671</v>
          </cell>
          <cell r="L235" t="str">
            <v>000117996-1</v>
          </cell>
          <cell r="R235" t="str">
            <v>181.40</v>
          </cell>
        </row>
        <row r="236">
          <cell r="A236" t="str">
            <v>Lançado</v>
          </cell>
          <cell r="F236">
            <v>2881972</v>
          </cell>
          <cell r="G236" t="str">
            <v>TIAGO DE BROI EIRELI EPP.</v>
          </cell>
          <cell r="I236">
            <v>4501698929</v>
          </cell>
          <cell r="L236" t="str">
            <v>000117880-1</v>
          </cell>
          <cell r="R236" t="str">
            <v>326.20</v>
          </cell>
        </row>
        <row r="237">
          <cell r="A237" t="str">
            <v>Lançado</v>
          </cell>
          <cell r="F237">
            <v>2880517</v>
          </cell>
          <cell r="G237" t="str">
            <v>ANHANGUERA COMERCIO DE</v>
          </cell>
          <cell r="I237">
            <v>4501698896</v>
          </cell>
          <cell r="L237" t="str">
            <v>001399230-3</v>
          </cell>
          <cell r="R237" t="str">
            <v>2,150.08</v>
          </cell>
        </row>
        <row r="238">
          <cell r="A238" t="str">
            <v>Lançado</v>
          </cell>
          <cell r="F238">
            <v>2880108</v>
          </cell>
          <cell r="G238" t="str">
            <v>ANHANGUERA COMERCIO DE</v>
          </cell>
          <cell r="I238">
            <v>4501698651</v>
          </cell>
          <cell r="L238" t="str">
            <v>001398727-3</v>
          </cell>
          <cell r="R238" t="str">
            <v>279.15</v>
          </cell>
        </row>
        <row r="239">
          <cell r="A239" t="str">
            <v>Lançado</v>
          </cell>
          <cell r="F239">
            <v>2879914</v>
          </cell>
          <cell r="G239" t="str">
            <v>ANHANGUERA COMERCIO DE</v>
          </cell>
          <cell r="I239">
            <v>4501698675</v>
          </cell>
          <cell r="L239" t="str">
            <v>001398463-3</v>
          </cell>
          <cell r="R239" t="str">
            <v>2,019.66</v>
          </cell>
        </row>
        <row r="240">
          <cell r="A240" t="str">
            <v>Lançado</v>
          </cell>
          <cell r="F240">
            <v>2879318</v>
          </cell>
          <cell r="G240" t="str">
            <v>TIAGO DE BROI EIRELI EPP.</v>
          </cell>
          <cell r="I240">
            <v>4501697097</v>
          </cell>
          <cell r="L240" t="str">
            <v>000117474-1</v>
          </cell>
          <cell r="R240" t="str">
            <v>910.00</v>
          </cell>
        </row>
        <row r="241">
          <cell r="A241" t="str">
            <v xml:space="preserve"> ()</v>
          </cell>
          <cell r="F241">
            <v>2994536</v>
          </cell>
          <cell r="G241" t="str">
            <v>EPD M EXPORTAÇÃO</v>
          </cell>
          <cell r="I241">
            <v>4501730025</v>
          </cell>
          <cell r="L241" t="str">
            <v>000000000-9</v>
          </cell>
          <cell r="R241" t="str">
            <v>0.00</v>
          </cell>
        </row>
        <row r="242">
          <cell r="A242" t="str">
            <v xml:space="preserve"> ()</v>
          </cell>
          <cell r="F242">
            <v>2985588</v>
          </cell>
          <cell r="G242" t="str">
            <v>AUTOMASAFETY CONSULTORIA IND. E</v>
          </cell>
          <cell r="I242">
            <v>4501708628</v>
          </cell>
          <cell r="L242" t="str">
            <v>000010132-1</v>
          </cell>
          <cell r="R242" t="str">
            <v>132,011.20</v>
          </cell>
        </row>
        <row r="243">
          <cell r="A243" t="str">
            <v xml:space="preserve"> ()</v>
          </cell>
          <cell r="F243">
            <v>2959409</v>
          </cell>
          <cell r="G243" t="str">
            <v>ANHANGUERA COMERCIO DE</v>
          </cell>
          <cell r="I243">
            <v>4501722773</v>
          </cell>
          <cell r="L243" t="str">
            <v>001518601-3</v>
          </cell>
          <cell r="R243" t="str">
            <v>1,234.10</v>
          </cell>
        </row>
        <row r="244">
          <cell r="A244" t="str">
            <v xml:space="preserve"> ()</v>
          </cell>
          <cell r="F244">
            <v>2958982</v>
          </cell>
          <cell r="G244" t="str">
            <v>TIAGO DE BROI EIRELI EPP.</v>
          </cell>
          <cell r="I244">
            <v>4501721647</v>
          </cell>
          <cell r="L244" t="str">
            <v>000131696-1</v>
          </cell>
          <cell r="R244" t="str">
            <v>1,991.36</v>
          </cell>
        </row>
        <row r="245">
          <cell r="A245" t="str">
            <v>Aguardando DANFE ()</v>
          </cell>
          <cell r="F245">
            <v>2979988</v>
          </cell>
          <cell r="G245" t="str">
            <v>ARTPLAN COMERCIAL LTDA.</v>
          </cell>
          <cell r="I245">
            <v>4501723632</v>
          </cell>
          <cell r="L245" t="str">
            <v>000023806-1</v>
          </cell>
          <cell r="R245" t="str">
            <v>708.00</v>
          </cell>
        </row>
        <row r="246">
          <cell r="A246" t="str">
            <v xml:space="preserve"> ()</v>
          </cell>
          <cell r="F246">
            <v>2946498</v>
          </cell>
          <cell r="G246" t="str">
            <v>TIAGO DE BROI EIRELI EPP.</v>
          </cell>
          <cell r="I246">
            <v>4501718721</v>
          </cell>
          <cell r="L246" t="str">
            <v>000129762-1</v>
          </cell>
          <cell r="R246" t="str">
            <v>2,635.85</v>
          </cell>
        </row>
        <row r="247">
          <cell r="A247" t="str">
            <v>Verificar Alíquota de Impostos ()</v>
          </cell>
          <cell r="F247">
            <v>2973136</v>
          </cell>
          <cell r="G247" t="str">
            <v>PLENA COMERCIAL ELETRICA LTDA.</v>
          </cell>
          <cell r="I247">
            <v>4501723100</v>
          </cell>
          <cell r="L247" t="str">
            <v>000022184-1</v>
          </cell>
          <cell r="R247" t="str">
            <v>4,720.00</v>
          </cell>
        </row>
        <row r="248">
          <cell r="A248" t="str">
            <v xml:space="preserve"> ()</v>
          </cell>
          <cell r="F248">
            <v>2977592</v>
          </cell>
          <cell r="G248" t="str">
            <v>OCTANS SISTEMAS DE AUTOMACAO LTDA.</v>
          </cell>
          <cell r="I248">
            <v>4501719496</v>
          </cell>
          <cell r="L248">
            <v>129</v>
          </cell>
          <cell r="R248" t="str">
            <v>2,370.00</v>
          </cell>
        </row>
        <row r="249">
          <cell r="A249" t="str">
            <v xml:space="preserve"> ()</v>
          </cell>
          <cell r="F249">
            <v>2977057</v>
          </cell>
          <cell r="G249" t="str">
            <v>OCTANS SISTEMAS DE AUTOMACAO LTDA.</v>
          </cell>
          <cell r="I249">
            <v>4501719496</v>
          </cell>
          <cell r="L249">
            <v>129</v>
          </cell>
          <cell r="R249" t="str">
            <v>2,370.00</v>
          </cell>
        </row>
        <row r="250">
          <cell r="A250" t="str">
            <v xml:space="preserve"> ()</v>
          </cell>
          <cell r="F250">
            <v>2976530</v>
          </cell>
          <cell r="G250" t="str">
            <v>OCTANS SISTEMAS DE AUTOMACAO LTDA.</v>
          </cell>
          <cell r="I250">
            <v>4501719496</v>
          </cell>
          <cell r="L250">
            <v>129</v>
          </cell>
          <cell r="R250" t="str">
            <v>2,370.00</v>
          </cell>
        </row>
        <row r="251">
          <cell r="A251" t="str">
            <v xml:space="preserve"> ()</v>
          </cell>
          <cell r="F251">
            <v>2976006</v>
          </cell>
          <cell r="G251" t="str">
            <v>OCTANS SISTEMAS DE AUTOMACAO LTDA.</v>
          </cell>
          <cell r="I251">
            <v>4501719496</v>
          </cell>
          <cell r="L251">
            <v>129</v>
          </cell>
          <cell r="R251" t="str">
            <v>2,370.00</v>
          </cell>
        </row>
        <row r="252">
          <cell r="A252" t="str">
            <v xml:space="preserve"> ()</v>
          </cell>
          <cell r="F252">
            <v>2975475</v>
          </cell>
          <cell r="G252" t="str">
            <v>OCTANS SISTEMAS DE AUTOMACAO LTDA.</v>
          </cell>
          <cell r="I252">
            <v>4501719496</v>
          </cell>
          <cell r="L252">
            <v>129</v>
          </cell>
          <cell r="R252" t="str">
            <v>2,370.00</v>
          </cell>
        </row>
        <row r="253">
          <cell r="A253" t="str">
            <v xml:space="preserve"> ()</v>
          </cell>
          <cell r="F253">
            <v>2974967</v>
          </cell>
          <cell r="G253" t="str">
            <v>OCTANS SISTEMAS DE AUTOMACAO LTDA.</v>
          </cell>
          <cell r="I253">
            <v>4501719496</v>
          </cell>
          <cell r="L253">
            <v>129</v>
          </cell>
          <cell r="R253" t="str">
            <v>2,370.00</v>
          </cell>
        </row>
        <row r="254">
          <cell r="A254" t="str">
            <v xml:space="preserve"> ()</v>
          </cell>
          <cell r="F254">
            <v>2974495</v>
          </cell>
          <cell r="G254" t="str">
            <v>OCTANS SISTEMAS DE AUTOMACAO LTDA.</v>
          </cell>
          <cell r="I254">
            <v>4501719496</v>
          </cell>
          <cell r="L254">
            <v>129</v>
          </cell>
          <cell r="R254" t="str">
            <v>2,370.00</v>
          </cell>
        </row>
        <row r="255">
          <cell r="A255" t="str">
            <v xml:space="preserve"> ()</v>
          </cell>
          <cell r="F255">
            <v>2974037</v>
          </cell>
          <cell r="G255" t="str">
            <v>OCTANS SISTEMAS DE AUTOMACAO LTDA.</v>
          </cell>
          <cell r="I255">
            <v>4501719496</v>
          </cell>
          <cell r="L255">
            <v>129</v>
          </cell>
          <cell r="R255" t="str">
            <v>2,370.00</v>
          </cell>
        </row>
        <row r="256">
          <cell r="A256" t="str">
            <v xml:space="preserve"> ()</v>
          </cell>
          <cell r="F256">
            <v>2970189</v>
          </cell>
          <cell r="G256" t="str">
            <v>TIAGO DE BROI EIRELI EPP.</v>
          </cell>
          <cell r="I256">
            <v>4501725833</v>
          </cell>
          <cell r="L256" t="str">
            <v>000133647-1</v>
          </cell>
          <cell r="R256" t="str">
            <v>18,270.22</v>
          </cell>
        </row>
        <row r="257">
          <cell r="A257" t="str">
            <v xml:space="preserve"> ()</v>
          </cell>
          <cell r="F257">
            <v>2973631</v>
          </cell>
          <cell r="G257" t="str">
            <v>OCTANS SISTEMAS DE AUTOMACAO LTDA.</v>
          </cell>
          <cell r="I257">
            <v>4501719496</v>
          </cell>
          <cell r="L257">
            <v>129</v>
          </cell>
          <cell r="R257" t="str">
            <v>2,370.00</v>
          </cell>
        </row>
        <row r="258">
          <cell r="A258" t="str">
            <v xml:space="preserve"> ()</v>
          </cell>
          <cell r="F258">
            <v>2973211</v>
          </cell>
          <cell r="G258" t="str">
            <v>OCTANS SISTEMAS DE AUTOMACAO LTDA.</v>
          </cell>
          <cell r="I258">
            <v>4501719496</v>
          </cell>
          <cell r="L258">
            <v>129</v>
          </cell>
          <cell r="R258" t="str">
            <v>2,370.00</v>
          </cell>
        </row>
        <row r="259">
          <cell r="A259" t="str">
            <v xml:space="preserve"> ()</v>
          </cell>
          <cell r="F259">
            <v>2972739</v>
          </cell>
          <cell r="G259" t="str">
            <v>OCTANS SISTEMAS DE AUTOMACAO LTDA.</v>
          </cell>
          <cell r="I259">
            <v>4501719496</v>
          </cell>
          <cell r="L259">
            <v>129</v>
          </cell>
          <cell r="R259" t="str">
            <v>2,370.00</v>
          </cell>
        </row>
        <row r="260">
          <cell r="A260" t="str">
            <v xml:space="preserve"> ()</v>
          </cell>
          <cell r="F260">
            <v>2972360</v>
          </cell>
          <cell r="G260" t="str">
            <v>OCTANS SISTEMAS DE AUTOMACAO LTDA.</v>
          </cell>
          <cell r="I260">
            <v>4501719496</v>
          </cell>
          <cell r="L260">
            <v>129</v>
          </cell>
          <cell r="R260" t="str">
            <v>2,370.00</v>
          </cell>
        </row>
        <row r="261">
          <cell r="A261" t="str">
            <v xml:space="preserve"> ()</v>
          </cell>
          <cell r="F261">
            <v>2972036</v>
          </cell>
          <cell r="G261" t="str">
            <v>OCTANS SISTEMAS DE AUTOMACAO LTDA.</v>
          </cell>
          <cell r="I261">
            <v>4501719496</v>
          </cell>
          <cell r="L261">
            <v>129</v>
          </cell>
          <cell r="R261" t="str">
            <v>2,370.00</v>
          </cell>
        </row>
        <row r="262">
          <cell r="A262" t="str">
            <v xml:space="preserve"> ()</v>
          </cell>
          <cell r="F262">
            <v>2971557</v>
          </cell>
          <cell r="G262" t="str">
            <v>OCTANS SISTEMAS DE AUTOMACAO LTDA.</v>
          </cell>
          <cell r="I262">
            <v>4501719496</v>
          </cell>
          <cell r="L262">
            <v>129</v>
          </cell>
          <cell r="R262" t="str">
            <v>2,370.00</v>
          </cell>
        </row>
        <row r="263">
          <cell r="A263" t="str">
            <v xml:space="preserve"> ()</v>
          </cell>
          <cell r="F263">
            <v>2957729</v>
          </cell>
          <cell r="G263" t="str">
            <v>J ASSIS COMERCIO E</v>
          </cell>
          <cell r="I263">
            <v>4501716228</v>
          </cell>
          <cell r="L263" t="str">
            <v>000000873-1</v>
          </cell>
          <cell r="R263" t="str">
            <v>1,809.00</v>
          </cell>
        </row>
        <row r="264">
          <cell r="A264" t="str">
            <v xml:space="preserve"> ()</v>
          </cell>
          <cell r="F264">
            <v>2934734</v>
          </cell>
          <cell r="G264" t="str">
            <v>USINAGEM PAULISTA LTDA.</v>
          </cell>
          <cell r="I264">
            <v>4501708371</v>
          </cell>
          <cell r="L264" t="str">
            <v>000000337-9</v>
          </cell>
          <cell r="R264" t="str">
            <v>12,780.00</v>
          </cell>
        </row>
        <row r="265">
          <cell r="A265" t="str">
            <v xml:space="preserve"> ()</v>
          </cell>
          <cell r="F265">
            <v>2944523</v>
          </cell>
          <cell r="G265" t="str">
            <v>J ASSIS COMERCIO E</v>
          </cell>
          <cell r="I265">
            <v>4501716228</v>
          </cell>
          <cell r="L265" t="str">
            <v>000001623-1</v>
          </cell>
          <cell r="R265" t="str">
            <v>1,809.00</v>
          </cell>
        </row>
        <row r="266">
          <cell r="A266" t="str">
            <v xml:space="preserve"> ()</v>
          </cell>
          <cell r="F266">
            <v>2941745</v>
          </cell>
          <cell r="G266" t="str">
            <v>J ASSIS COMERCIO E</v>
          </cell>
          <cell r="I266">
            <v>4501716228</v>
          </cell>
          <cell r="L266" t="str">
            <v>000000873-1</v>
          </cell>
          <cell r="R266" t="str">
            <v>1,809.00</v>
          </cell>
        </row>
        <row r="267">
          <cell r="A267" t="str">
            <v>Verificar Alíquota de Impostos ()</v>
          </cell>
          <cell r="F267">
            <v>2925675</v>
          </cell>
          <cell r="G267" t="str">
            <v>TIAGO DE BROI EIRELI EPP.</v>
          </cell>
          <cell r="I267">
            <v>4501706360</v>
          </cell>
          <cell r="L267" t="str">
            <v>000125840-1</v>
          </cell>
          <cell r="R267" t="str">
            <v>1,271.68</v>
          </cell>
        </row>
        <row r="268">
          <cell r="A268" t="str">
            <v>Aguardando DANFE ()</v>
          </cell>
          <cell r="F268">
            <v>2905623</v>
          </cell>
          <cell r="G268" t="str">
            <v>TECNOCRIMPER INDUSTRIA E</v>
          </cell>
          <cell r="I268">
            <v>4501698653</v>
          </cell>
          <cell r="L268" t="str">
            <v>000032553-1</v>
          </cell>
          <cell r="R268" t="str">
            <v>1,206.48</v>
          </cell>
        </row>
        <row r="269">
          <cell r="A269" t="str">
            <v xml:space="preserve"> ()</v>
          </cell>
          <cell r="F269">
            <v>2915925</v>
          </cell>
          <cell r="G269" t="str">
            <v>HILTI DO BRASIL COMERCIAL LTDA.</v>
          </cell>
          <cell r="I269">
            <v>4501708378</v>
          </cell>
          <cell r="L269">
            <v>33924</v>
          </cell>
          <cell r="R269" t="str">
            <v>15,894.51</v>
          </cell>
        </row>
        <row r="270">
          <cell r="A270" t="str">
            <v>Aguardando DANFE ()</v>
          </cell>
          <cell r="F270">
            <v>2890769</v>
          </cell>
          <cell r="G270" t="str">
            <v>TIAGO DE BROI EIRELI EPP.</v>
          </cell>
          <cell r="I270">
            <v>4501698647</v>
          </cell>
          <cell r="L270" t="str">
            <v>000119559-1</v>
          </cell>
          <cell r="R270" t="str">
            <v>86.00</v>
          </cell>
        </row>
        <row r="271">
          <cell r="A271" t="str">
            <v>Aguardando DANFE ()</v>
          </cell>
          <cell r="F271">
            <v>2882335</v>
          </cell>
          <cell r="G271" t="str">
            <v>TIAGO DE BROI EIRELI EPP.</v>
          </cell>
          <cell r="I271">
            <v>4501698646</v>
          </cell>
          <cell r="L271" t="str">
            <v>000117997-1</v>
          </cell>
          <cell r="R271" t="str">
            <v>1,632.40</v>
          </cell>
        </row>
        <row r="272">
          <cell r="A272" t="str">
            <v>Conversão de UM ()</v>
          </cell>
          <cell r="F272">
            <v>2891137</v>
          </cell>
          <cell r="G272" t="str">
            <v>TIAGO DE BROI EIRELI EPP.</v>
          </cell>
          <cell r="I272">
            <v>4501698647</v>
          </cell>
          <cell r="L272" t="str">
            <v>000119540-1</v>
          </cell>
          <cell r="R272" t="str">
            <v>86.00</v>
          </cell>
        </row>
        <row r="273">
          <cell r="A273" t="str">
            <v>Aguardando DANFE ()</v>
          </cell>
          <cell r="F273">
            <v>2873457</v>
          </cell>
          <cell r="G273" t="str">
            <v>TIAGO DE BROI EIRELI EPP.</v>
          </cell>
          <cell r="I273">
            <v>4501697137</v>
          </cell>
          <cell r="L273" t="str">
            <v>000116511-1</v>
          </cell>
          <cell r="R273" t="str">
            <v>55.00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28ACC8-59A0-43BD-B35D-AF1470BC13C7}" name="Table1" displayName="Table1" ref="A3:M220" totalsRowShown="0" dataDxfId="65" headerRowBorderDxfId="66" tableBorderDxfId="64">
  <autoFilter ref="A3:M220" xr:uid="{3428ACC8-59A0-43BD-B35D-AF1470BC13C7}"/>
  <tableColumns count="13">
    <tableColumn id="1" xr3:uid="{BFD5F472-5BB9-40A1-837D-937617438698}" name="Coluna1" dataDxfId="63"/>
    <tableColumn id="2" xr3:uid="{10F97ABA-649B-4DB5-93A2-73ABBD534859}" name="SOLICITANTE" dataDxfId="62"/>
    <tableColumn id="12" xr3:uid="{E0E6DF59-9ED2-4C03-B3E6-E8F8C50C4F9D}" name="MODELO" dataDxfId="61"/>
    <tableColumn id="3" xr3:uid="{5B6F2C6D-B029-4DC2-BD69-A2D5EEBC176D}" name="DESCRIÇÃO" dataDxfId="60"/>
    <tableColumn id="5" xr3:uid="{A9AA1BF2-EC32-428F-9D4E-7E1CF1FAC7E3}" name="APROVADOR" dataDxfId="59"/>
    <tableColumn id="4" xr3:uid="{C35FE125-EA24-4AEC-8EE3-41DF793BD8B5}" name="REQUISIÇÃO" dataDxfId="58"/>
    <tableColumn id="6" xr3:uid="{A5634662-D9E4-4EB9-9ABC-2002ADF14C1E}" name="PEDIDO" dataDxfId="57"/>
    <tableColumn id="16" xr3:uid="{8211FE9B-3B19-439A-8873-F8C93AC1B4A5}" name="VIM" dataDxfId="56">
      <calculatedColumnFormula>IF(Table1[[#This Row],[PEDIDO]]&lt;&gt;"",_xlfn.XLOOKUP(Table1[[#This Row],[PEDIDO]],'[1]BASE DE VIM''s-NF''s'!I:I,'[1]BASE DE VIM''s-NF''s'!F:F,"-"),"-")</calculatedColumnFormula>
    </tableColumn>
    <tableColumn id="11" xr3:uid="{CB7AE16A-1F61-49F1-BA58-F1C315F391B1}" name="STATUS VIM" dataDxfId="55">
      <calculatedColumnFormula>_xlfn.XLOOKUP(Table1[[#This Row],[VIM]],'[1]BASE DE VIM''s-NF''s'!F:F,'[1]BASE DE VIM''s-NF''s'!A:A,"")</calculatedColumnFormula>
    </tableColumn>
    <tableColumn id="9" xr3:uid="{70041315-C1E0-4309-8689-2E472489F917}" name="NOTA FISCAL" dataDxfId="54">
      <calculatedColumnFormula>_xlfn.XLOOKUP(Table1[[#This Row],[VIM]],'[1]BASE DE VIM''s-NF''s'!F:F,'[1]BASE DE VIM''s-NF''s'!L:L,"")</calculatedColumnFormula>
    </tableColumn>
    <tableColumn id="7" xr3:uid="{C7F9CD0C-F583-4773-9B4B-A43FF813818A}" name="FORNECEDOR" dataDxfId="53">
      <calculatedColumnFormula>_xlfn.XLOOKUP(Table1[[#This Row],[VIM]],'[1]BASE DE VIM''s-NF''s'!F:F,'[1]BASE DE VIM''s-NF''s'!G:G,"")</calculatedColumnFormula>
    </tableColumn>
    <tableColumn id="10" xr3:uid="{B6E5C0E6-2C94-4C09-A090-F0DFB48BA858}" name="DESPESA" dataDxfId="52">
      <calculatedColumnFormula>_xlfn.XLOOKUP(Table1[[#This Row],[PEDIDO]],'[1]BASE DE VIM''s-NF''s'!I:I,'[1]BASE DE VIM''s-NF''s'!R:R,"")</calculatedColumnFormula>
    </tableColumn>
    <tableColumn id="8" xr3:uid="{1812DB43-C6D7-4D59-B7F6-73F28ADCBD1D}" name="STATUS" dataDxfId="51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EBCB4-4A1F-4CB5-AEB5-88763E37F25E}">
  <dimension ref="A1:M220"/>
  <sheetViews>
    <sheetView tabSelected="1" topLeftCell="A196" zoomScale="85" zoomScaleNormal="85" workbookViewId="0">
      <selection activeCell="L217" sqref="L217"/>
    </sheetView>
  </sheetViews>
  <sheetFormatPr defaultRowHeight="14.4" x14ac:dyDescent="0.3"/>
  <cols>
    <col min="1" max="1" width="26" style="28" customWidth="1"/>
    <col min="2" max="2" width="26.77734375" style="22" customWidth="1"/>
    <col min="3" max="3" width="34.21875" style="21" customWidth="1"/>
    <col min="4" max="4" width="43.21875" style="22" bestFit="1" customWidth="1"/>
    <col min="5" max="5" width="19.5546875" bestFit="1" customWidth="1"/>
    <col min="6" max="6" width="21.5546875" customWidth="1"/>
    <col min="7" max="7" width="17.5546875" bestFit="1" customWidth="1"/>
    <col min="8" max="8" width="12.44140625" bestFit="1" customWidth="1"/>
    <col min="9" max="9" width="64.44140625" bestFit="1" customWidth="1"/>
    <col min="10" max="10" width="21.77734375" bestFit="1" customWidth="1"/>
    <col min="11" max="11" width="48.21875" customWidth="1"/>
    <col min="12" max="12" width="16.33203125" bestFit="1" customWidth="1"/>
    <col min="13" max="13" width="25" bestFit="1" customWidth="1"/>
  </cols>
  <sheetData>
    <row r="1" spans="1:13" ht="18" x14ac:dyDescent="0.3">
      <c r="A1" s="30" t="s">
        <v>224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2" spans="1:13" ht="18" x14ac:dyDescent="0.3">
      <c r="A2" s="1"/>
      <c r="B2" s="1"/>
      <c r="C2" s="1"/>
      <c r="D2" s="1"/>
      <c r="E2" s="1"/>
      <c r="F2" s="1"/>
      <c r="G2" s="1"/>
      <c r="H2" s="2" t="e">
        <f>IF(Table1[[#This Row],[PEDIDO]]&lt;&gt;"",_xlfn.XLOOKUP(Table1[[#This Row],[PEDIDO]],'[1]BASE DE VIM''s-NF''s'!I:I,'[1]BASE DE VIM''s-NF''s'!F:F,"-"),"-")</f>
        <v>#VALUE!</v>
      </c>
      <c r="I2" s="3" t="e">
        <f>_xlfn.XLOOKUP(Table1[[#This Row],[VIM]],'[1]BASE DE VIM''s-NF''s'!F:F,'[1]BASE DE VIM''s-NF''s'!A:A,"")</f>
        <v>#VALUE!</v>
      </c>
      <c r="J2" s="2" t="e">
        <f>_xlfn.XLOOKUP(Table1[[#This Row],[VIM]],'[1]BASE DE VIM''s-NF''s'!F:F,'[1]BASE DE VIM''s-NF''s'!L:L,"")</f>
        <v>#VALUE!</v>
      </c>
      <c r="K2" s="2" t="e">
        <f>_xlfn.XLOOKUP(Table1[[#This Row],[VIM]],'[1]BASE DE VIM''s-NF''s'!F:F,'[1]BASE DE VIM''s-NF''s'!G:G,"")</f>
        <v>#VALUE!</v>
      </c>
      <c r="L2" s="2"/>
      <c r="M2" s="4" t="s">
        <v>0</v>
      </c>
    </row>
    <row r="3" spans="1:13" ht="15.6" x14ac:dyDescent="0.3">
      <c r="A3" s="23" t="s">
        <v>225</v>
      </c>
      <c r="B3" s="6" t="s">
        <v>226</v>
      </c>
      <c r="C3" s="5" t="s">
        <v>1</v>
      </c>
      <c r="D3" s="6" t="s">
        <v>239</v>
      </c>
      <c r="E3" s="7" t="s">
        <v>2</v>
      </c>
      <c r="F3" s="7" t="s">
        <v>3</v>
      </c>
      <c r="G3" s="8" t="s">
        <v>4</v>
      </c>
      <c r="H3" s="9" t="s">
        <v>5</v>
      </c>
      <c r="I3" s="9" t="s">
        <v>6</v>
      </c>
      <c r="J3" s="9" t="s">
        <v>7</v>
      </c>
      <c r="K3" s="9" t="s">
        <v>8</v>
      </c>
      <c r="L3" s="9" t="s">
        <v>279</v>
      </c>
      <c r="M3" s="10" t="s">
        <v>9</v>
      </c>
    </row>
    <row r="4" spans="1:13" x14ac:dyDescent="0.3">
      <c r="A4" s="24">
        <v>45874</v>
      </c>
      <c r="B4" s="25" t="s">
        <v>228</v>
      </c>
      <c r="C4" s="11" t="s">
        <v>10</v>
      </c>
      <c r="D4" s="17" t="s">
        <v>14</v>
      </c>
      <c r="E4" s="12" t="s">
        <v>11</v>
      </c>
      <c r="F4" s="13">
        <v>1076162433</v>
      </c>
      <c r="G4" s="14">
        <v>4501705723</v>
      </c>
      <c r="H4" s="15">
        <f>IF(Table1[[#This Row],[PEDIDO]]&lt;&gt;"",_xlfn.XLOOKUP(Table1[[#This Row],[PEDIDO]],'[1]BASE DE VIM''s-NF''s'!I:I,'[1]BASE DE VIM''s-NF''s'!F:F,"-"),"-")</f>
        <v>2905857</v>
      </c>
      <c r="I4" s="16" t="str">
        <f>_xlfn.XLOOKUP(Table1[[#This Row],[VIM]],'[1]BASE DE VIM''s-NF''s'!F:F,'[1]BASE DE VIM''s-NF''s'!A:A,"")</f>
        <v>Lançado</v>
      </c>
      <c r="J4" s="15" t="str">
        <f>_xlfn.XLOOKUP(Table1[[#This Row],[VIM]],'[1]BASE DE VIM''s-NF''s'!F:F,'[1]BASE DE VIM''s-NF''s'!L:L,"")</f>
        <v>001438653-3</v>
      </c>
      <c r="K4" s="15" t="str">
        <f>_xlfn.XLOOKUP(Table1[[#This Row],[VIM]],'[1]BASE DE VIM''s-NF''s'!F:F,'[1]BASE DE VIM''s-NF''s'!G:G,"")</f>
        <v>ANHANGUERA COMERCIO DE</v>
      </c>
      <c r="L4" s="15" t="str">
        <f>_xlfn.XLOOKUP(Table1[[#This Row],[PEDIDO]],'[1]BASE DE VIM''s-NF''s'!I:I,'[1]BASE DE VIM''s-NF''s'!R:R,"")</f>
        <v>549.90</v>
      </c>
      <c r="M4" s="14" t="s">
        <v>12</v>
      </c>
    </row>
    <row r="5" spans="1:13" x14ac:dyDescent="0.3">
      <c r="A5" s="24">
        <v>45874</v>
      </c>
      <c r="B5" s="25" t="s">
        <v>229</v>
      </c>
      <c r="C5" s="11" t="s">
        <v>13</v>
      </c>
      <c r="D5" s="17" t="s">
        <v>15</v>
      </c>
      <c r="E5" s="12" t="s">
        <v>11</v>
      </c>
      <c r="F5" s="13">
        <v>1076202798</v>
      </c>
      <c r="G5" s="14">
        <v>4501706549</v>
      </c>
      <c r="H5" s="15">
        <f>IF(Table1[[#This Row],[PEDIDO]]&lt;&gt;"",_xlfn.XLOOKUP(Table1[[#This Row],[PEDIDO]],'[1]BASE DE VIM''s-NF''s'!I:I,'[1]BASE DE VIM''s-NF''s'!F:F,"-"),"-")</f>
        <v>2925735</v>
      </c>
      <c r="I5" s="16" t="str">
        <f>_xlfn.XLOOKUP(Table1[[#This Row],[VIM]],'[1]BASE DE VIM''s-NF''s'!F:F,'[1]BASE DE VIM''s-NF''s'!A:A,"")</f>
        <v>Lançado</v>
      </c>
      <c r="J5" s="15" t="str">
        <f>_xlfn.XLOOKUP(Table1[[#This Row],[VIM]],'[1]BASE DE VIM''s-NF''s'!F:F,'[1]BASE DE VIM''s-NF''s'!L:L,"")</f>
        <v>000000689-9</v>
      </c>
      <c r="K5" s="15" t="str">
        <f>_xlfn.XLOOKUP(Table1[[#This Row],[VIM]],'[1]BASE DE VIM''s-NF''s'!F:F,'[1]BASE DE VIM''s-NF''s'!G:G,"")</f>
        <v>ESTRUTURAS E EQUIPAMENTOS</v>
      </c>
      <c r="L5" s="15" t="str">
        <f>_xlfn.XLOOKUP(Table1[[#This Row],[PEDIDO]],'[1]BASE DE VIM''s-NF''s'!I:I,'[1]BASE DE VIM''s-NF''s'!R:R,"")</f>
        <v>1,800.00</v>
      </c>
      <c r="M5" s="14" t="s">
        <v>12</v>
      </c>
    </row>
    <row r="6" spans="1:13" x14ac:dyDescent="0.3">
      <c r="A6" s="24">
        <v>45881</v>
      </c>
      <c r="B6" s="25" t="s">
        <v>227</v>
      </c>
      <c r="C6" s="11" t="s">
        <v>10</v>
      </c>
      <c r="D6" s="17" t="s">
        <v>16</v>
      </c>
      <c r="E6" s="12" t="s">
        <v>11</v>
      </c>
      <c r="F6" s="13">
        <v>1076285290</v>
      </c>
      <c r="G6" s="14">
        <v>4501706360</v>
      </c>
      <c r="H6" s="15">
        <f>IF(Table1[[#This Row],[PEDIDO]]&lt;&gt;"",_xlfn.XLOOKUP(Table1[[#This Row],[PEDIDO]],'[1]BASE DE VIM''s-NF''s'!I:I,'[1]BASE DE VIM''s-NF''s'!F:F,"-"),"-")</f>
        <v>2928122</v>
      </c>
      <c r="I6" s="16" t="str">
        <f>_xlfn.XLOOKUP(Table1[[#This Row],[VIM]],'[1]BASE DE VIM''s-NF''s'!F:F,'[1]BASE DE VIM''s-NF''s'!A:A,"")</f>
        <v>Lançado</v>
      </c>
      <c r="J6" s="15" t="str">
        <f>_xlfn.XLOOKUP(Table1[[#This Row],[VIM]],'[1]BASE DE VIM''s-NF''s'!F:F,'[1]BASE DE VIM''s-NF''s'!L:L,"")</f>
        <v>000126316-1</v>
      </c>
      <c r="K6" s="15" t="str">
        <f>_xlfn.XLOOKUP(Table1[[#This Row],[VIM]],'[1]BASE DE VIM''s-NF''s'!F:F,'[1]BASE DE VIM''s-NF''s'!G:G,"")</f>
        <v>TIAGO DE BROI EIRELI EPP.</v>
      </c>
      <c r="L6" s="15" t="str">
        <f>_xlfn.XLOOKUP(Table1[[#This Row],[PEDIDO]],'[1]BASE DE VIM''s-NF''s'!I:I,'[1]BASE DE VIM''s-NF''s'!R:R,"")</f>
        <v>1,271.68</v>
      </c>
      <c r="M6" s="14" t="s">
        <v>12</v>
      </c>
    </row>
    <row r="7" spans="1:13" x14ac:dyDescent="0.3">
      <c r="A7" s="24">
        <v>45881</v>
      </c>
      <c r="B7" s="25" t="s">
        <v>228</v>
      </c>
      <c r="C7" s="11" t="s">
        <v>10</v>
      </c>
      <c r="D7" s="17" t="s">
        <v>17</v>
      </c>
      <c r="E7" s="12" t="s">
        <v>11</v>
      </c>
      <c r="F7" s="13">
        <v>1076285378</v>
      </c>
      <c r="G7" s="14">
        <v>4501706362</v>
      </c>
      <c r="H7" s="15">
        <f>IF(Table1[[#This Row],[PEDIDO]]&lt;&gt;"",_xlfn.XLOOKUP(Table1[[#This Row],[PEDIDO]],'[1]BASE DE VIM''s-NF''s'!I:I,'[1]BASE DE VIM''s-NF''s'!F:F,"-"),"-")</f>
        <v>2928500</v>
      </c>
      <c r="I7" s="16" t="str">
        <f>_xlfn.XLOOKUP(Table1[[#This Row],[VIM]],'[1]BASE DE VIM''s-NF''s'!F:F,'[1]BASE DE VIM''s-NF''s'!A:A,"")</f>
        <v>Lançado</v>
      </c>
      <c r="J7" s="15" t="str">
        <f>_xlfn.XLOOKUP(Table1[[#This Row],[VIM]],'[1]BASE DE VIM''s-NF''s'!F:F,'[1]BASE DE VIM''s-NF''s'!L:L,"")</f>
        <v>000003214-1</v>
      </c>
      <c r="K7" s="15" t="str">
        <f>_xlfn.XLOOKUP(Table1[[#This Row],[VIM]],'[1]BASE DE VIM''s-NF''s'!F:F,'[1]BASE DE VIM''s-NF''s'!G:G,"")</f>
        <v>ZAP USINAGEM E CALDEIRARIA</v>
      </c>
      <c r="L7" s="15" t="str">
        <f>_xlfn.XLOOKUP(Table1[[#This Row],[PEDIDO]],'[1]BASE DE VIM''s-NF''s'!I:I,'[1]BASE DE VIM''s-NF''s'!R:R,"")</f>
        <v>653.29</v>
      </c>
      <c r="M7" s="14" t="s">
        <v>12</v>
      </c>
    </row>
    <row r="8" spans="1:13" x14ac:dyDescent="0.3">
      <c r="A8" s="24">
        <v>45881</v>
      </c>
      <c r="B8" s="25" t="s">
        <v>228</v>
      </c>
      <c r="C8" s="11" t="s">
        <v>10</v>
      </c>
      <c r="D8" s="17" t="s">
        <v>18</v>
      </c>
      <c r="E8" s="12" t="s">
        <v>11</v>
      </c>
      <c r="F8" s="13">
        <v>1076285394</v>
      </c>
      <c r="G8" s="14">
        <v>4501706365</v>
      </c>
      <c r="H8" s="15">
        <f>IF(Table1[[#This Row],[PEDIDO]]&lt;&gt;"",_xlfn.XLOOKUP(Table1[[#This Row],[PEDIDO]],'[1]BASE DE VIM''s-NF''s'!I:I,'[1]BASE DE VIM''s-NF''s'!F:F,"-"),"-")</f>
        <v>2928499</v>
      </c>
      <c r="I8" s="16" t="str">
        <f>_xlfn.XLOOKUP(Table1[[#This Row],[VIM]],'[1]BASE DE VIM''s-NF''s'!F:F,'[1]BASE DE VIM''s-NF''s'!A:A,"")</f>
        <v>Lançado</v>
      </c>
      <c r="J8" s="15" t="str">
        <f>_xlfn.XLOOKUP(Table1[[#This Row],[VIM]],'[1]BASE DE VIM''s-NF''s'!F:F,'[1]BASE DE VIM''s-NF''s'!L:L,"")</f>
        <v>000003215-1</v>
      </c>
      <c r="K8" s="15" t="str">
        <f>_xlfn.XLOOKUP(Table1[[#This Row],[VIM]],'[1]BASE DE VIM''s-NF''s'!F:F,'[1]BASE DE VIM''s-NF''s'!G:G,"")</f>
        <v>ZAP USINAGEM E CALDEIRARIA</v>
      </c>
      <c r="L8" s="15" t="str">
        <f>_xlfn.XLOOKUP(Table1[[#This Row],[PEDIDO]],'[1]BASE DE VIM''s-NF''s'!I:I,'[1]BASE DE VIM''s-NF''s'!R:R,"")</f>
        <v>2,298.62</v>
      </c>
      <c r="M8" s="14" t="s">
        <v>12</v>
      </c>
    </row>
    <row r="9" spans="1:13" x14ac:dyDescent="0.3">
      <c r="A9" s="24">
        <v>45888</v>
      </c>
      <c r="B9" s="25" t="s">
        <v>227</v>
      </c>
      <c r="C9" s="11" t="s">
        <v>10</v>
      </c>
      <c r="D9" s="17" t="s">
        <v>19</v>
      </c>
      <c r="E9" s="12" t="s">
        <v>11</v>
      </c>
      <c r="F9" s="13">
        <v>1076351664</v>
      </c>
      <c r="G9" s="14">
        <v>4501706868</v>
      </c>
      <c r="H9" s="15">
        <f>IF(Table1[[#This Row],[PEDIDO]]&lt;&gt;"",_xlfn.XLOOKUP(Table1[[#This Row],[PEDIDO]],'[1]BASE DE VIM''s-NF''s'!I:I,'[1]BASE DE VIM''s-NF''s'!F:F,"-"),"-")</f>
        <v>2912973</v>
      </c>
      <c r="I9" s="16" t="str">
        <f>_xlfn.XLOOKUP(Table1[[#This Row],[VIM]],'[1]BASE DE VIM''s-NF''s'!F:F,'[1]BASE DE VIM''s-NF''s'!A:A,"")</f>
        <v>Lançado</v>
      </c>
      <c r="J9" s="15" t="str">
        <f>_xlfn.XLOOKUP(Table1[[#This Row],[VIM]],'[1]BASE DE VIM''s-NF''s'!F:F,'[1]BASE DE VIM''s-NF''s'!L:L,"")</f>
        <v>000123643-1</v>
      </c>
      <c r="K9" s="15" t="str">
        <f>_xlfn.XLOOKUP(Table1[[#This Row],[VIM]],'[1]BASE DE VIM''s-NF''s'!F:F,'[1]BASE DE VIM''s-NF''s'!G:G,"")</f>
        <v>TIAGO DE BROI EIRELI EPP.</v>
      </c>
      <c r="L9" s="15" t="str">
        <f>_xlfn.XLOOKUP(Table1[[#This Row],[PEDIDO]],'[1]BASE DE VIM''s-NF''s'!I:I,'[1]BASE DE VIM''s-NF''s'!R:R,"")</f>
        <v>648.30</v>
      </c>
      <c r="M9" s="14" t="s">
        <v>12</v>
      </c>
    </row>
    <row r="10" spans="1:13" x14ac:dyDescent="0.3">
      <c r="A10" s="24">
        <v>45888</v>
      </c>
      <c r="B10" s="25" t="s">
        <v>227</v>
      </c>
      <c r="C10" s="11" t="s">
        <v>10</v>
      </c>
      <c r="D10" s="17" t="s">
        <v>20</v>
      </c>
      <c r="E10" s="12" t="s">
        <v>11</v>
      </c>
      <c r="F10" s="13">
        <v>1076351666</v>
      </c>
      <c r="G10" s="14">
        <v>4501706869</v>
      </c>
      <c r="H10" s="15">
        <f>IF(Table1[[#This Row],[PEDIDO]]&lt;&gt;"",_xlfn.XLOOKUP(Table1[[#This Row],[PEDIDO]],'[1]BASE DE VIM''s-NF''s'!I:I,'[1]BASE DE VIM''s-NF''s'!F:F,"-"),"-")</f>
        <v>2913952</v>
      </c>
      <c r="I10" s="16" t="str">
        <f>_xlfn.XLOOKUP(Table1[[#This Row],[VIM]],'[1]BASE DE VIM''s-NF''s'!F:F,'[1]BASE DE VIM''s-NF''s'!A:A,"")</f>
        <v>Lançado</v>
      </c>
      <c r="J10" s="15" t="str">
        <f>_xlfn.XLOOKUP(Table1[[#This Row],[VIM]],'[1]BASE DE VIM''s-NF''s'!F:F,'[1]BASE DE VIM''s-NF''s'!L:L,"")</f>
        <v>000123798-1</v>
      </c>
      <c r="K10" s="15" t="str">
        <f>_xlfn.XLOOKUP(Table1[[#This Row],[VIM]],'[1]BASE DE VIM''s-NF''s'!F:F,'[1]BASE DE VIM''s-NF''s'!G:G,"")</f>
        <v>TIAGO DE BROI EIRELI EPP.</v>
      </c>
      <c r="L10" s="15" t="str">
        <f>_xlfn.XLOOKUP(Table1[[#This Row],[PEDIDO]],'[1]BASE DE VIM''s-NF''s'!I:I,'[1]BASE DE VIM''s-NF''s'!R:R,"")</f>
        <v>1,320.95</v>
      </c>
      <c r="M10" s="14" t="s">
        <v>12</v>
      </c>
    </row>
    <row r="11" spans="1:13" x14ac:dyDescent="0.3">
      <c r="A11" s="24">
        <v>45888</v>
      </c>
      <c r="B11" s="25" t="s">
        <v>228</v>
      </c>
      <c r="C11" s="11" t="s">
        <v>10</v>
      </c>
      <c r="D11" s="17" t="s">
        <v>21</v>
      </c>
      <c r="E11" s="12" t="s">
        <v>11</v>
      </c>
      <c r="F11" s="13">
        <v>1076351698</v>
      </c>
      <c r="G11" s="14">
        <v>4501706875</v>
      </c>
      <c r="H11" s="15">
        <f>IF(Table1[[#This Row],[PEDIDO]]&lt;&gt;"",_xlfn.XLOOKUP(Table1[[#This Row],[PEDIDO]],'[1]BASE DE VIM''s-NF''s'!I:I,'[1]BASE DE VIM''s-NF''s'!F:F,"-"),"-")</f>
        <v>2910776</v>
      </c>
      <c r="I11" s="16" t="str">
        <f>_xlfn.XLOOKUP(Table1[[#This Row],[VIM]],'[1]BASE DE VIM''s-NF''s'!F:F,'[1]BASE DE VIM''s-NF''s'!A:A,"")</f>
        <v>Lançado</v>
      </c>
      <c r="J11" s="15" t="str">
        <f>_xlfn.XLOOKUP(Table1[[#This Row],[VIM]],'[1]BASE DE VIM''s-NF''s'!F:F,'[1]BASE DE VIM''s-NF''s'!L:L,"")</f>
        <v>000077661-1</v>
      </c>
      <c r="K11" s="15" t="str">
        <f>_xlfn.XLOOKUP(Table1[[#This Row],[VIM]],'[1]BASE DE VIM''s-NF''s'!F:F,'[1]BASE DE VIM''s-NF''s'!G:G,"")</f>
        <v>ENERGYARC INDUSTRIAL LTDA.</v>
      </c>
      <c r="L11" s="15" t="str">
        <f>_xlfn.XLOOKUP(Table1[[#This Row],[PEDIDO]],'[1]BASE DE VIM''s-NF''s'!I:I,'[1]BASE DE VIM''s-NF''s'!R:R,"")</f>
        <v>2,350.00</v>
      </c>
      <c r="M11" s="14" t="s">
        <v>12</v>
      </c>
    </row>
    <row r="12" spans="1:13" x14ac:dyDescent="0.3">
      <c r="A12" s="24">
        <v>45890</v>
      </c>
      <c r="B12" s="25" t="s">
        <v>228</v>
      </c>
      <c r="C12" s="11" t="s">
        <v>10</v>
      </c>
      <c r="D12" s="17" t="s">
        <v>22</v>
      </c>
      <c r="E12" s="12" t="s">
        <v>11</v>
      </c>
      <c r="F12" s="13">
        <v>1076385710</v>
      </c>
      <c r="G12" s="14">
        <v>4501707459</v>
      </c>
      <c r="H12" s="15">
        <f>IF(Table1[[#This Row],[PEDIDO]]&lt;&gt;"",_xlfn.XLOOKUP(Table1[[#This Row],[PEDIDO]],'[1]BASE DE VIM''s-NF''s'!I:I,'[1]BASE DE VIM''s-NF''s'!F:F,"-"),"-")</f>
        <v>2916741</v>
      </c>
      <c r="I12" s="16" t="str">
        <f>_xlfn.XLOOKUP(Table1[[#This Row],[VIM]],'[1]BASE DE VIM''s-NF''s'!F:F,'[1]BASE DE VIM''s-NF''s'!A:A,"")</f>
        <v>Lançado</v>
      </c>
      <c r="J12" s="15" t="str">
        <f>_xlfn.XLOOKUP(Table1[[#This Row],[VIM]],'[1]BASE DE VIM''s-NF''s'!F:F,'[1]BASE DE VIM''s-NF''s'!L:L,"")</f>
        <v>000000891-1</v>
      </c>
      <c r="K12" s="15" t="str">
        <f>_xlfn.XLOOKUP(Table1[[#This Row],[VIM]],'[1]BASE DE VIM''s-NF''s'!F:F,'[1]BASE DE VIM''s-NF''s'!G:G,"")</f>
        <v>MB - COMERCIO E PRESTACAO DE SERVIC</v>
      </c>
      <c r="L12" s="15" t="str">
        <f>_xlfn.XLOOKUP(Table1[[#This Row],[PEDIDO]],'[1]BASE DE VIM''s-NF''s'!I:I,'[1]BASE DE VIM''s-NF''s'!R:R,"")</f>
        <v>1,425.60</v>
      </c>
      <c r="M12" s="14" t="s">
        <v>12</v>
      </c>
    </row>
    <row r="13" spans="1:13" x14ac:dyDescent="0.3">
      <c r="A13" s="24">
        <v>45896</v>
      </c>
      <c r="B13" s="25" t="s">
        <v>228</v>
      </c>
      <c r="C13" s="11" t="s">
        <v>10</v>
      </c>
      <c r="D13" s="17" t="s">
        <v>23</v>
      </c>
      <c r="E13" s="12" t="s">
        <v>11</v>
      </c>
      <c r="F13" s="13">
        <v>1076455040</v>
      </c>
      <c r="G13" s="14">
        <v>4501707908</v>
      </c>
      <c r="H13" s="15">
        <f>IF(Table1[[#This Row],[PEDIDO]]&lt;&gt;"",_xlfn.XLOOKUP(Table1[[#This Row],[PEDIDO]],'[1]BASE DE VIM''s-NF''s'!I:I,'[1]BASE DE VIM''s-NF''s'!F:F,"-"),"-")</f>
        <v>2926678</v>
      </c>
      <c r="I13" s="16" t="str">
        <f>_xlfn.XLOOKUP(Table1[[#This Row],[VIM]],'[1]BASE DE VIM''s-NF''s'!F:F,'[1]BASE DE VIM''s-NF''s'!A:A,"")</f>
        <v>Lançado</v>
      </c>
      <c r="J13" s="15" t="str">
        <f>_xlfn.XLOOKUP(Table1[[#This Row],[VIM]],'[1]BASE DE VIM''s-NF''s'!F:F,'[1]BASE DE VIM''s-NF''s'!L:L,"")</f>
        <v>000006918-1</v>
      </c>
      <c r="K13" s="15" t="str">
        <f>_xlfn.XLOOKUP(Table1[[#This Row],[VIM]],'[1]BASE DE VIM''s-NF''s'!F:F,'[1]BASE DE VIM''s-NF''s'!G:G,"")</f>
        <v>MOTA - USINAGEM E</v>
      </c>
      <c r="L13" s="15" t="str">
        <f>_xlfn.XLOOKUP(Table1[[#This Row],[PEDIDO]],'[1]BASE DE VIM''s-NF''s'!I:I,'[1]BASE DE VIM''s-NF''s'!R:R,"")</f>
        <v>21,965.00</v>
      </c>
      <c r="M13" s="14" t="s">
        <v>12</v>
      </c>
    </row>
    <row r="14" spans="1:13" ht="27.6" x14ac:dyDescent="0.3">
      <c r="A14" s="24">
        <v>45896</v>
      </c>
      <c r="B14" s="25" t="s">
        <v>228</v>
      </c>
      <c r="C14" s="11" t="s">
        <v>13</v>
      </c>
      <c r="D14" s="17" t="s">
        <v>24</v>
      </c>
      <c r="E14" s="12" t="s">
        <v>11</v>
      </c>
      <c r="F14" s="13">
        <v>1076455045</v>
      </c>
      <c r="G14" s="14">
        <v>4501707839</v>
      </c>
      <c r="H14" s="15">
        <f>IF(Table1[[#This Row],[PEDIDO]]&lt;&gt;"",_xlfn.XLOOKUP(Table1[[#This Row],[PEDIDO]],'[1]BASE DE VIM''s-NF''s'!I:I,'[1]BASE DE VIM''s-NF''s'!F:F,"-"),"-")</f>
        <v>2920168</v>
      </c>
      <c r="I14" s="16" t="str">
        <f>_xlfn.XLOOKUP(Table1[[#This Row],[VIM]],'[1]BASE DE VIM''s-NF''s'!F:F,'[1]BASE DE VIM''s-NF''s'!A:A,"")</f>
        <v>Lançado</v>
      </c>
      <c r="J14" s="15" t="str">
        <f>_xlfn.XLOOKUP(Table1[[#This Row],[VIM]],'[1]BASE DE VIM''s-NF''s'!F:F,'[1]BASE DE VIM''s-NF''s'!L:L,"")</f>
        <v>000004793-9</v>
      </c>
      <c r="K14" s="15" t="str">
        <f>_xlfn.XLOOKUP(Table1[[#This Row],[VIM]],'[1]BASE DE VIM''s-NF''s'!F:F,'[1]BASE DE VIM''s-NF''s'!G:G,"")</f>
        <v>TRANSPORTADORA GALIEGO LTDA. EPP.</v>
      </c>
      <c r="L14" s="15" t="str">
        <f>_xlfn.XLOOKUP(Table1[[#This Row],[PEDIDO]],'[1]BASE DE VIM''s-NF''s'!I:I,'[1]BASE DE VIM''s-NF''s'!R:R,"")</f>
        <v>20,150.00</v>
      </c>
      <c r="M14" s="14" t="s">
        <v>12</v>
      </c>
    </row>
    <row r="15" spans="1:13" x14ac:dyDescent="0.3">
      <c r="A15" s="24">
        <v>45897</v>
      </c>
      <c r="B15" s="25" t="s">
        <v>228</v>
      </c>
      <c r="C15" s="11" t="s">
        <v>25</v>
      </c>
      <c r="D15" s="17" t="s">
        <v>26</v>
      </c>
      <c r="E15" s="12" t="s">
        <v>11</v>
      </c>
      <c r="F15" s="13">
        <v>1076499222</v>
      </c>
      <c r="G15" s="14">
        <v>4501708373</v>
      </c>
      <c r="H15" s="15">
        <f>IF(Table1[[#This Row],[PEDIDO]]&lt;&gt;"",_xlfn.XLOOKUP(Table1[[#This Row],[PEDIDO]],'[1]BASE DE VIM''s-NF''s'!I:I,'[1]BASE DE VIM''s-NF''s'!F:F,"-"),"-")</f>
        <v>2922134</v>
      </c>
      <c r="I15" s="16" t="str">
        <f>_xlfn.XLOOKUP(Table1[[#This Row],[VIM]],'[1]BASE DE VIM''s-NF''s'!F:F,'[1]BASE DE VIM''s-NF''s'!A:A,"")</f>
        <v>Lançado</v>
      </c>
      <c r="J15" s="15" t="str">
        <f>_xlfn.XLOOKUP(Table1[[#This Row],[VIM]],'[1]BASE DE VIM''s-NF''s'!F:F,'[1]BASE DE VIM''s-NF''s'!L:L,"")</f>
        <v>001464300-3</v>
      </c>
      <c r="K15" s="15" t="str">
        <f>_xlfn.XLOOKUP(Table1[[#This Row],[VIM]],'[1]BASE DE VIM''s-NF''s'!F:F,'[1]BASE DE VIM''s-NF''s'!G:G,"")</f>
        <v>ANHANGUERA COMERCIO DE</v>
      </c>
      <c r="L15" s="15" t="str">
        <f>_xlfn.XLOOKUP(Table1[[#This Row],[PEDIDO]],'[1]BASE DE VIM''s-NF''s'!I:I,'[1]BASE DE VIM''s-NF''s'!R:R,"")</f>
        <v>12,990.00</v>
      </c>
      <c r="M15" s="14" t="s">
        <v>12</v>
      </c>
    </row>
    <row r="16" spans="1:13" x14ac:dyDescent="0.3">
      <c r="A16" s="24">
        <v>45897</v>
      </c>
      <c r="B16" s="25" t="s">
        <v>228</v>
      </c>
      <c r="C16" s="11" t="s">
        <v>25</v>
      </c>
      <c r="D16" s="17" t="s">
        <v>27</v>
      </c>
      <c r="E16" s="12" t="s">
        <v>11</v>
      </c>
      <c r="F16" s="13">
        <v>1076499234</v>
      </c>
      <c r="G16" s="14">
        <v>4501708371</v>
      </c>
      <c r="H16" s="15">
        <f>IF(Table1[[#This Row],[PEDIDO]]&lt;&gt;"",_xlfn.XLOOKUP(Table1[[#This Row],[PEDIDO]],'[1]BASE DE VIM''s-NF''s'!I:I,'[1]BASE DE VIM''s-NF''s'!F:F,"-"),"-")</f>
        <v>2951599</v>
      </c>
      <c r="I16" s="16" t="str">
        <f>_xlfn.XLOOKUP(Table1[[#This Row],[VIM]],'[1]BASE DE VIM''s-NF''s'!F:F,'[1]BASE DE VIM''s-NF''s'!A:A,"")</f>
        <v>Lançado</v>
      </c>
      <c r="J16" s="15" t="str">
        <f>_xlfn.XLOOKUP(Table1[[#This Row],[VIM]],'[1]BASE DE VIM''s-NF''s'!F:F,'[1]BASE DE VIM''s-NF''s'!L:L,"")</f>
        <v>000000365-9</v>
      </c>
      <c r="K16" s="15" t="str">
        <f>_xlfn.XLOOKUP(Table1[[#This Row],[VIM]],'[1]BASE DE VIM''s-NF''s'!F:F,'[1]BASE DE VIM''s-NF''s'!G:G,"")</f>
        <v>USINAGEM PAULISTA LTDA.</v>
      </c>
      <c r="L16" s="15" t="str">
        <f>_xlfn.XLOOKUP(Table1[[#This Row],[PEDIDO]],'[1]BASE DE VIM''s-NF''s'!I:I,'[1]BASE DE VIM''s-NF''s'!R:R,"")</f>
        <v>11,600.00</v>
      </c>
      <c r="M16" s="14" t="s">
        <v>12</v>
      </c>
    </row>
    <row r="17" spans="1:13" x14ac:dyDescent="0.3">
      <c r="A17" s="24">
        <v>45897</v>
      </c>
      <c r="B17" s="25" t="s">
        <v>228</v>
      </c>
      <c r="C17" s="11" t="s">
        <v>25</v>
      </c>
      <c r="D17" s="17" t="s">
        <v>28</v>
      </c>
      <c r="E17" s="12" t="s">
        <v>11</v>
      </c>
      <c r="F17" s="13">
        <v>1076499309</v>
      </c>
      <c r="G17" s="14">
        <v>4501708628</v>
      </c>
      <c r="H17" s="15">
        <f>IF(Table1[[#This Row],[PEDIDO]]&lt;&gt;"",_xlfn.XLOOKUP(Table1[[#This Row],[PEDIDO]],'[1]BASE DE VIM''s-NF''s'!I:I,'[1]BASE DE VIM''s-NF''s'!F:F,"-"),"-")</f>
        <v>2993920</v>
      </c>
      <c r="I17" s="16"/>
      <c r="J17" s="15" t="str">
        <f>_xlfn.XLOOKUP(Table1[[#This Row],[VIM]],'[1]BASE DE VIM''s-NF''s'!F:F,'[1]BASE DE VIM''s-NF''s'!L:L,"")</f>
        <v>000010140-1</v>
      </c>
      <c r="K17" s="15" t="str">
        <f>_xlfn.XLOOKUP(Table1[[#This Row],[VIM]],'[1]BASE DE VIM''s-NF''s'!F:F,'[1]BASE DE VIM''s-NF''s'!G:G,"")</f>
        <v>AUTOMASAFETY CONSULTORIA IND. E</v>
      </c>
      <c r="L17" s="15" t="str">
        <f>_xlfn.XLOOKUP(Table1[[#This Row],[PEDIDO]],'[1]BASE DE VIM''s-NF''s'!I:I,'[1]BASE DE VIM''s-NF''s'!R:R,"")</f>
        <v>132,011.20</v>
      </c>
      <c r="M17" s="14" t="s">
        <v>12</v>
      </c>
    </row>
    <row r="18" spans="1:13" x14ac:dyDescent="0.3">
      <c r="A18" s="24">
        <v>45897</v>
      </c>
      <c r="B18" s="25" t="s">
        <v>228</v>
      </c>
      <c r="C18" s="11" t="s">
        <v>25</v>
      </c>
      <c r="D18" s="17" t="s">
        <v>29</v>
      </c>
      <c r="E18" s="12" t="s">
        <v>11</v>
      </c>
      <c r="F18" s="13">
        <v>1076499220</v>
      </c>
      <c r="G18" s="14">
        <v>4501708729</v>
      </c>
      <c r="H18" s="15">
        <f>IF(Table1[[#This Row],[PEDIDO]]&lt;&gt;"",_xlfn.XLOOKUP(Table1[[#This Row],[PEDIDO]],'[1]BASE DE VIM''s-NF''s'!I:I,'[1]BASE DE VIM''s-NF''s'!F:F,"-"),"-")</f>
        <v>2966026</v>
      </c>
      <c r="I18" s="16" t="str">
        <f>_xlfn.XLOOKUP(Table1[[#This Row],[VIM]],'[1]BASE DE VIM''s-NF''s'!F:F,'[1]BASE DE VIM''s-NF''s'!A:A,"")</f>
        <v>Lançado</v>
      </c>
      <c r="J18" s="15" t="str">
        <f>_xlfn.XLOOKUP(Table1[[#This Row],[VIM]],'[1]BASE DE VIM''s-NF''s'!F:F,'[1]BASE DE VIM''s-NF''s'!L:L,"")</f>
        <v>000001083-9</v>
      </c>
      <c r="K18" s="15" t="str">
        <f>_xlfn.XLOOKUP(Table1[[#This Row],[VIM]],'[1]BASE DE VIM''s-NF''s'!F:F,'[1]BASE DE VIM''s-NF''s'!G:G,"")</f>
        <v>AUTOMASAFETY CONSULTORIA IND. E</v>
      </c>
      <c r="L18" s="15" t="str">
        <f>_xlfn.XLOOKUP(Table1[[#This Row],[PEDIDO]],'[1]BASE DE VIM''s-NF''s'!I:I,'[1]BASE DE VIM''s-NF''s'!R:R,"")</f>
        <v>17,430.70</v>
      </c>
      <c r="M18" s="14" t="s">
        <v>12</v>
      </c>
    </row>
    <row r="19" spans="1:13" x14ac:dyDescent="0.3">
      <c r="A19" s="24">
        <v>45897</v>
      </c>
      <c r="B19" s="25" t="s">
        <v>228</v>
      </c>
      <c r="C19" s="11" t="s">
        <v>25</v>
      </c>
      <c r="D19" s="17" t="s">
        <v>30</v>
      </c>
      <c r="E19" s="12" t="s">
        <v>11</v>
      </c>
      <c r="F19" s="13">
        <v>1076499227</v>
      </c>
      <c r="G19" s="14">
        <v>4501708373</v>
      </c>
      <c r="H19" s="15">
        <f>IF(Table1[[#This Row],[PEDIDO]]&lt;&gt;"",_xlfn.XLOOKUP(Table1[[#This Row],[PEDIDO]],'[1]BASE DE VIM''s-NF''s'!I:I,'[1]BASE DE VIM''s-NF''s'!F:F,"-"),"-")</f>
        <v>2922134</v>
      </c>
      <c r="I19" s="16" t="str">
        <f>_xlfn.XLOOKUP(Table1[[#This Row],[VIM]],'[1]BASE DE VIM''s-NF''s'!F:F,'[1]BASE DE VIM''s-NF''s'!A:A,"")</f>
        <v>Lançado</v>
      </c>
      <c r="J19" s="15" t="str">
        <f>_xlfn.XLOOKUP(Table1[[#This Row],[VIM]],'[1]BASE DE VIM''s-NF''s'!F:F,'[1]BASE DE VIM''s-NF''s'!L:L,"")</f>
        <v>001464300-3</v>
      </c>
      <c r="K19" s="15" t="str">
        <f>_xlfn.XLOOKUP(Table1[[#This Row],[VIM]],'[1]BASE DE VIM''s-NF''s'!F:F,'[1]BASE DE VIM''s-NF''s'!G:G,"")</f>
        <v>ANHANGUERA COMERCIO DE</v>
      </c>
      <c r="L19" s="15" t="str">
        <f>_xlfn.XLOOKUP(Table1[[#This Row],[PEDIDO]],'[1]BASE DE VIM''s-NF''s'!I:I,'[1]BASE DE VIM''s-NF''s'!R:R,"")</f>
        <v>12,990.00</v>
      </c>
      <c r="M19" s="14" t="s">
        <v>12</v>
      </c>
    </row>
    <row r="20" spans="1:13" x14ac:dyDescent="0.3">
      <c r="A20" s="24">
        <v>45897</v>
      </c>
      <c r="B20" s="25" t="s">
        <v>228</v>
      </c>
      <c r="C20" s="11" t="s">
        <v>25</v>
      </c>
      <c r="D20" s="17" t="s">
        <v>31</v>
      </c>
      <c r="E20" s="12" t="s">
        <v>11</v>
      </c>
      <c r="F20" s="13">
        <v>1076499224</v>
      </c>
      <c r="G20" s="14">
        <v>4501708379</v>
      </c>
      <c r="H20" s="15">
        <f>IF(Table1[[#This Row],[PEDIDO]]&lt;&gt;"",_xlfn.XLOOKUP(Table1[[#This Row],[PEDIDO]],'[1]BASE DE VIM''s-NF''s'!I:I,'[1]BASE DE VIM''s-NF''s'!F:F,"-"),"-")</f>
        <v>2962330</v>
      </c>
      <c r="I20" s="16" t="str">
        <f>_xlfn.XLOOKUP(Table1[[#This Row],[VIM]],'[1]BASE DE VIM''s-NF''s'!F:F,'[1]BASE DE VIM''s-NF''s'!A:A,"")</f>
        <v>Lançado</v>
      </c>
      <c r="J20" s="15" t="str">
        <f>_xlfn.XLOOKUP(Table1[[#This Row],[VIM]],'[1]BASE DE VIM''s-NF''s'!F:F,'[1]BASE DE VIM''s-NF''s'!L:L,"")</f>
        <v>000001173-1</v>
      </c>
      <c r="K20" s="15" t="str">
        <f>_xlfn.XLOOKUP(Table1[[#This Row],[VIM]],'[1]BASE DE VIM''s-NF''s'!F:F,'[1]BASE DE VIM''s-NF''s'!G:G,"")</f>
        <v>CONDUTA - E.R.C. SOLUCOES</v>
      </c>
      <c r="L20" s="15" t="str">
        <f>_xlfn.XLOOKUP(Table1[[#This Row],[PEDIDO]],'[1]BASE DE VIM''s-NF''s'!I:I,'[1]BASE DE VIM''s-NF''s'!R:R,"")</f>
        <v>11,400.00</v>
      </c>
      <c r="M20" s="14" t="s">
        <v>12</v>
      </c>
    </row>
    <row r="21" spans="1:13" x14ac:dyDescent="0.3">
      <c r="A21" s="24">
        <v>45897</v>
      </c>
      <c r="B21" s="25" t="s">
        <v>228</v>
      </c>
      <c r="C21" s="11" t="s">
        <v>25</v>
      </c>
      <c r="D21" s="17" t="s">
        <v>32</v>
      </c>
      <c r="E21" s="12" t="s">
        <v>11</v>
      </c>
      <c r="F21" s="13">
        <v>1076530490</v>
      </c>
      <c r="G21" s="14">
        <v>4501708631</v>
      </c>
      <c r="H21" s="15">
        <f>IF(Table1[[#This Row],[PEDIDO]]&lt;&gt;"",_xlfn.XLOOKUP(Table1[[#This Row],[PEDIDO]],'[1]BASE DE VIM''s-NF''s'!I:I,'[1]BASE DE VIM''s-NF''s'!F:F,"-"),"-")</f>
        <v>2947326</v>
      </c>
      <c r="I21" s="16"/>
      <c r="J21" s="15" t="str">
        <f>_xlfn.XLOOKUP(Table1[[#This Row],[VIM]],'[1]BASE DE VIM''s-NF''s'!F:F,'[1]BASE DE VIM''s-NF''s'!L:L,"")</f>
        <v>000018404-1</v>
      </c>
      <c r="K21" s="15" t="str">
        <f>_xlfn.XLOOKUP(Table1[[#This Row],[VIM]],'[1]BASE DE VIM''s-NF''s'!F:F,'[1]BASE DE VIM''s-NF''s'!G:G,"")</f>
        <v>FLOWSISTEM SOLUCOES</v>
      </c>
      <c r="L21" s="15" t="str">
        <f>_xlfn.XLOOKUP(Table1[[#This Row],[PEDIDO]],'[1]BASE DE VIM''s-NF''s'!I:I,'[1]BASE DE VIM''s-NF''s'!R:R,"")</f>
        <v>179,352.02</v>
      </c>
      <c r="M21" s="14"/>
    </row>
    <row r="22" spans="1:13" x14ac:dyDescent="0.3">
      <c r="A22" s="24">
        <v>45897</v>
      </c>
      <c r="B22" s="25" t="s">
        <v>228</v>
      </c>
      <c r="C22" s="11" t="s">
        <v>25</v>
      </c>
      <c r="D22" s="17" t="s">
        <v>33</v>
      </c>
      <c r="E22" s="12" t="s">
        <v>11</v>
      </c>
      <c r="F22" s="13">
        <v>1076499226</v>
      </c>
      <c r="G22" s="14">
        <v>4501708378</v>
      </c>
      <c r="H22" s="15">
        <f>IF(Table1[[#This Row],[PEDIDO]]&lt;&gt;"",_xlfn.XLOOKUP(Table1[[#This Row],[PEDIDO]],'[1]BASE DE VIM''s-NF''s'!I:I,'[1]BASE DE VIM''s-NF''s'!F:F,"-"),"-")</f>
        <v>2921170</v>
      </c>
      <c r="I22" s="16" t="str">
        <f>_xlfn.XLOOKUP(Table1[[#This Row],[VIM]],'[1]BASE DE VIM''s-NF''s'!F:F,'[1]BASE DE VIM''s-NF''s'!A:A,"")</f>
        <v>Lançado</v>
      </c>
      <c r="J22" s="15" t="str">
        <f>_xlfn.XLOOKUP(Table1[[#This Row],[VIM]],'[1]BASE DE VIM''s-NF''s'!F:F,'[1]BASE DE VIM''s-NF''s'!L:L,"")</f>
        <v>000033924-1</v>
      </c>
      <c r="K22" s="15" t="str">
        <f>_xlfn.XLOOKUP(Table1[[#This Row],[VIM]],'[1]BASE DE VIM''s-NF''s'!F:F,'[1]BASE DE VIM''s-NF''s'!G:G,"")</f>
        <v>HILTI DO BRASIL COMERCIAL LTDA.</v>
      </c>
      <c r="L22" s="15" t="str">
        <f>_xlfn.XLOOKUP(Table1[[#This Row],[PEDIDO]],'[1]BASE DE VIM''s-NF''s'!I:I,'[1]BASE DE VIM''s-NF''s'!R:R,"")</f>
        <v>15,894.51</v>
      </c>
      <c r="M22" s="14" t="s">
        <v>12</v>
      </c>
    </row>
    <row r="23" spans="1:13" x14ac:dyDescent="0.3">
      <c r="A23" s="24">
        <v>45897</v>
      </c>
      <c r="B23" s="25" t="s">
        <v>228</v>
      </c>
      <c r="C23" s="11" t="s">
        <v>25</v>
      </c>
      <c r="D23" s="17" t="s">
        <v>34</v>
      </c>
      <c r="E23" s="12" t="s">
        <v>11</v>
      </c>
      <c r="F23" s="13">
        <v>1076596908</v>
      </c>
      <c r="G23" s="14">
        <v>4501709214</v>
      </c>
      <c r="H23" s="15">
        <f>IF(Table1[[#This Row],[PEDIDO]]&lt;&gt;"",_xlfn.XLOOKUP(Table1[[#This Row],[PEDIDO]],'[1]BASE DE VIM''s-NF''s'!I:I,'[1]BASE DE VIM''s-NF''s'!F:F,"-"),"-")</f>
        <v>2956948</v>
      </c>
      <c r="I23" s="16" t="str">
        <f>_xlfn.XLOOKUP(Table1[[#This Row],[VIM]],'[1]BASE DE VIM''s-NF''s'!F:F,'[1]BASE DE VIM''s-NF''s'!A:A,"")</f>
        <v>Lançado</v>
      </c>
      <c r="J23" s="15" t="str">
        <f>_xlfn.XLOOKUP(Table1[[#This Row],[VIM]],'[1]BASE DE VIM''s-NF''s'!F:F,'[1]BASE DE VIM''s-NF''s'!L:L,"")</f>
        <v>000007284-1</v>
      </c>
      <c r="K23" s="15" t="str">
        <f>_xlfn.XLOOKUP(Table1[[#This Row],[VIM]],'[1]BASE DE VIM''s-NF''s'!F:F,'[1]BASE DE VIM''s-NF''s'!G:G,"")</f>
        <v>ROVAMEC USINAGEM LTDA. EPP.</v>
      </c>
      <c r="L23" s="15" t="str">
        <f>_xlfn.XLOOKUP(Table1[[#This Row],[PEDIDO]],'[1]BASE DE VIM''s-NF''s'!I:I,'[1]BASE DE VIM''s-NF''s'!R:R,"")</f>
        <v>48,400.00</v>
      </c>
      <c r="M23" s="14" t="s">
        <v>12</v>
      </c>
    </row>
    <row r="24" spans="1:13" x14ac:dyDescent="0.3">
      <c r="A24" s="24">
        <v>45901</v>
      </c>
      <c r="B24" s="25" t="s">
        <v>228</v>
      </c>
      <c r="C24" s="11" t="s">
        <v>10</v>
      </c>
      <c r="D24" s="17" t="s">
        <v>35</v>
      </c>
      <c r="E24" s="12" t="s">
        <v>11</v>
      </c>
      <c r="F24" s="13">
        <v>1076530492</v>
      </c>
      <c r="G24" s="14">
        <v>4501708601</v>
      </c>
      <c r="H24" s="15">
        <f>IF(Table1[[#This Row],[PEDIDO]]&lt;&gt;"",_xlfn.XLOOKUP(Table1[[#This Row],[PEDIDO]],'[1]BASE DE VIM''s-NF''s'!I:I,'[1]BASE DE VIM''s-NF''s'!F:F,"-"),"-")</f>
        <v>2917249</v>
      </c>
      <c r="I24" s="16" t="str">
        <f>_xlfn.XLOOKUP(Table1[[#This Row],[VIM]],'[1]BASE DE VIM''s-NF''s'!F:F,'[1]BASE DE VIM''s-NF''s'!A:A,"")</f>
        <v>Lançado</v>
      </c>
      <c r="J24" s="15" t="str">
        <f>_xlfn.XLOOKUP(Table1[[#This Row],[VIM]],'[1]BASE DE VIM''s-NF''s'!F:F,'[1]BASE DE VIM''s-NF''s'!L:L,"")</f>
        <v>000124468-1</v>
      </c>
      <c r="K24" s="15" t="str">
        <f>_xlfn.XLOOKUP(Table1[[#This Row],[VIM]],'[1]BASE DE VIM''s-NF''s'!F:F,'[1]BASE DE VIM''s-NF''s'!G:G,"")</f>
        <v>TIAGO DE BROI EIRELI EPP.</v>
      </c>
      <c r="L24" s="15" t="str">
        <f>_xlfn.XLOOKUP(Table1[[#This Row],[PEDIDO]],'[1]BASE DE VIM''s-NF''s'!I:I,'[1]BASE DE VIM''s-NF''s'!R:R,"")</f>
        <v>1,665.06</v>
      </c>
      <c r="M24" s="14" t="s">
        <v>12</v>
      </c>
    </row>
    <row r="25" spans="1:13" x14ac:dyDescent="0.3">
      <c r="A25" s="24">
        <v>45903</v>
      </c>
      <c r="B25" s="25" t="s">
        <v>228</v>
      </c>
      <c r="C25" s="11" t="s">
        <v>10</v>
      </c>
      <c r="D25" s="17" t="s">
        <v>36</v>
      </c>
      <c r="E25" s="12" t="s">
        <v>11</v>
      </c>
      <c r="F25" s="13">
        <v>1076574761</v>
      </c>
      <c r="G25" s="14">
        <v>4501708692</v>
      </c>
      <c r="H25" s="15">
        <f>IF(Table1[[#This Row],[PEDIDO]]&lt;&gt;"",_xlfn.XLOOKUP(Table1[[#This Row],[PEDIDO]],'[1]BASE DE VIM''s-NF''s'!I:I,'[1]BASE DE VIM''s-NF''s'!F:F,"-"),"-")</f>
        <v>2917634</v>
      </c>
      <c r="I25" s="16" t="str">
        <f>_xlfn.XLOOKUP(Table1[[#This Row],[VIM]],'[1]BASE DE VIM''s-NF''s'!F:F,'[1]BASE DE VIM''s-NF''s'!A:A,"")</f>
        <v>Lançado</v>
      </c>
      <c r="J25" s="15" t="str">
        <f>_xlfn.XLOOKUP(Table1[[#This Row],[VIM]],'[1]BASE DE VIM''s-NF''s'!F:F,'[1]BASE DE VIM''s-NF''s'!L:L,"")</f>
        <v>000007167-1</v>
      </c>
      <c r="K25" s="15" t="str">
        <f>_xlfn.XLOOKUP(Table1[[#This Row],[VIM]],'[1]BASE DE VIM''s-NF''s'!F:F,'[1]BASE DE VIM''s-NF''s'!G:G,"")</f>
        <v>ROVAMEC USINAGEM LTDA. EPP.</v>
      </c>
      <c r="L25" s="15" t="str">
        <f>_xlfn.XLOOKUP(Table1[[#This Row],[PEDIDO]],'[1]BASE DE VIM''s-NF''s'!I:I,'[1]BASE DE VIM''s-NF''s'!R:R,"")</f>
        <v>420.00</v>
      </c>
      <c r="M25" s="14" t="s">
        <v>12</v>
      </c>
    </row>
    <row r="26" spans="1:13" ht="27.6" x14ac:dyDescent="0.3">
      <c r="A26" s="24">
        <v>45903</v>
      </c>
      <c r="B26" s="25" t="s">
        <v>228</v>
      </c>
      <c r="C26" s="11" t="s">
        <v>10</v>
      </c>
      <c r="D26" s="17" t="s">
        <v>37</v>
      </c>
      <c r="E26" s="12" t="s">
        <v>11</v>
      </c>
      <c r="F26" s="13">
        <v>1076574775</v>
      </c>
      <c r="G26" s="14">
        <v>4501708871</v>
      </c>
      <c r="H26" s="15">
        <f>IF(Table1[[#This Row],[PEDIDO]]&lt;&gt;"",_xlfn.XLOOKUP(Table1[[#This Row],[PEDIDO]],'[1]BASE DE VIM''s-NF''s'!I:I,'[1]BASE DE VIM''s-NF''s'!F:F,"-"),"-")</f>
        <v>2919812</v>
      </c>
      <c r="I26" s="16" t="str">
        <f>_xlfn.XLOOKUP(Table1[[#This Row],[VIM]],'[1]BASE DE VIM''s-NF''s'!F:F,'[1]BASE DE VIM''s-NF''s'!A:A,"")</f>
        <v>Lançado</v>
      </c>
      <c r="J26" s="15" t="str">
        <f>_xlfn.XLOOKUP(Table1[[#This Row],[VIM]],'[1]BASE DE VIM''s-NF''s'!F:F,'[1]BASE DE VIM''s-NF''s'!L:L,"")</f>
        <v>000124913-1</v>
      </c>
      <c r="K26" s="15" t="str">
        <f>_xlfn.XLOOKUP(Table1[[#This Row],[VIM]],'[1]BASE DE VIM''s-NF''s'!F:F,'[1]BASE DE VIM''s-NF''s'!G:G,"")</f>
        <v>TIAGO DE BROI EIRELI EPP.</v>
      </c>
      <c r="L26" s="15" t="str">
        <f>_xlfn.XLOOKUP(Table1[[#This Row],[PEDIDO]],'[1]BASE DE VIM''s-NF''s'!I:I,'[1]BASE DE VIM''s-NF''s'!R:R,"")</f>
        <v>2,454.40</v>
      </c>
      <c r="M26" s="14" t="s">
        <v>12</v>
      </c>
    </row>
    <row r="27" spans="1:13" ht="27.6" x14ac:dyDescent="0.3">
      <c r="A27" s="24">
        <v>45903</v>
      </c>
      <c r="B27" s="25" t="s">
        <v>228</v>
      </c>
      <c r="C27" s="11" t="s">
        <v>10</v>
      </c>
      <c r="D27" s="17" t="s">
        <v>38</v>
      </c>
      <c r="E27" s="12" t="s">
        <v>11</v>
      </c>
      <c r="F27" s="13">
        <v>1076574932</v>
      </c>
      <c r="G27" s="14">
        <v>4501708999</v>
      </c>
      <c r="H27" s="15">
        <f>IF(Table1[[#This Row],[PEDIDO]]&lt;&gt;"",_xlfn.XLOOKUP(Table1[[#This Row],[PEDIDO]],'[1]BASE DE VIM''s-NF''s'!I:I,'[1]BASE DE VIM''s-NF''s'!F:F,"-"),"-")</f>
        <v>2931482</v>
      </c>
      <c r="I27" s="16" t="str">
        <f>_xlfn.XLOOKUP(Table1[[#This Row],[VIM]],'[1]BASE DE VIM''s-NF''s'!F:F,'[1]BASE DE VIM''s-NF''s'!A:A,"")</f>
        <v>Lançado</v>
      </c>
      <c r="J27" s="15" t="str">
        <f>_xlfn.XLOOKUP(Table1[[#This Row],[VIM]],'[1]BASE DE VIM''s-NF''s'!F:F,'[1]BASE DE VIM''s-NF''s'!L:L,"")</f>
        <v>000003008-9</v>
      </c>
      <c r="K27" s="15" t="str">
        <f>_xlfn.XLOOKUP(Table1[[#This Row],[VIM]],'[1]BASE DE VIM''s-NF''s'!F:F,'[1]BASE DE VIM''s-NF''s'!G:G,"")</f>
        <v>PROCONNECT INSTALACOES LTDA.</v>
      </c>
      <c r="L27" s="15" t="str">
        <f>_xlfn.XLOOKUP(Table1[[#This Row],[PEDIDO]],'[1]BASE DE VIM''s-NF''s'!I:I,'[1]BASE DE VIM''s-NF''s'!R:R,"")</f>
        <v>30,600.00</v>
      </c>
      <c r="M27" s="14" t="s">
        <v>12</v>
      </c>
    </row>
    <row r="28" spans="1:13" x14ac:dyDescent="0.3">
      <c r="A28" s="24">
        <v>45903</v>
      </c>
      <c r="B28" s="25" t="s">
        <v>228</v>
      </c>
      <c r="C28" s="11" t="s">
        <v>10</v>
      </c>
      <c r="D28" s="17" t="s">
        <v>39</v>
      </c>
      <c r="E28" s="12" t="s">
        <v>11</v>
      </c>
      <c r="F28" s="13">
        <v>1076574965</v>
      </c>
      <c r="G28" s="14">
        <v>4501709507</v>
      </c>
      <c r="H28" s="15">
        <f>IF(Table1[[#This Row],[PEDIDO]]&lt;&gt;"",_xlfn.XLOOKUP(Table1[[#This Row],[PEDIDO]],'[1]BASE DE VIM''s-NF''s'!I:I,'[1]BASE DE VIM''s-NF''s'!F:F,"-"),"-")</f>
        <v>2923948</v>
      </c>
      <c r="I28" s="16" t="str">
        <f>_xlfn.XLOOKUP(Table1[[#This Row],[VIM]],'[1]BASE DE VIM''s-NF''s'!F:F,'[1]BASE DE VIM''s-NF''s'!A:A,"")</f>
        <v>Lançado</v>
      </c>
      <c r="J28" s="15" t="str">
        <f>_xlfn.XLOOKUP(Table1[[#This Row],[VIM]],'[1]BASE DE VIM''s-NF''s'!F:F,'[1]BASE DE VIM''s-NF''s'!L:L,"")</f>
        <v>000125497-1</v>
      </c>
      <c r="K28" s="15" t="str">
        <f>_xlfn.XLOOKUP(Table1[[#This Row],[VIM]],'[1]BASE DE VIM''s-NF''s'!F:F,'[1]BASE DE VIM''s-NF''s'!G:G,"")</f>
        <v>TIAGO DE BROI EIRELI EPP.</v>
      </c>
      <c r="L28" s="15" t="str">
        <f>_xlfn.XLOOKUP(Table1[[#This Row],[PEDIDO]],'[1]BASE DE VIM''s-NF''s'!I:I,'[1]BASE DE VIM''s-NF''s'!R:R,"")</f>
        <v>6,653.00</v>
      </c>
      <c r="M28" s="14" t="s">
        <v>12</v>
      </c>
    </row>
    <row r="29" spans="1:13" x14ac:dyDescent="0.3">
      <c r="A29" s="24">
        <v>45912</v>
      </c>
      <c r="B29" s="25" t="s">
        <v>228</v>
      </c>
      <c r="C29" s="11" t="s">
        <v>10</v>
      </c>
      <c r="D29" s="17" t="s">
        <v>40</v>
      </c>
      <c r="E29" s="12" t="s">
        <v>11</v>
      </c>
      <c r="F29" s="13">
        <v>1076731871</v>
      </c>
      <c r="G29" s="14">
        <v>4501710194</v>
      </c>
      <c r="H29" s="15">
        <f>IF(Table1[[#This Row],[PEDIDO]]&lt;&gt;"",_xlfn.XLOOKUP(Table1[[#This Row],[PEDIDO]],'[1]BASE DE VIM''s-NF''s'!I:I,'[1]BASE DE VIM''s-NF''s'!F:F,"-"),"-")</f>
        <v>2922687</v>
      </c>
      <c r="I29" s="16" t="str">
        <f>_xlfn.XLOOKUP(Table1[[#This Row],[VIM]],'[1]BASE DE VIM''s-NF''s'!F:F,'[1]BASE DE VIM''s-NF''s'!A:A,"")</f>
        <v>Lançado</v>
      </c>
      <c r="J29" s="15" t="str">
        <f>_xlfn.XLOOKUP(Table1[[#This Row],[VIM]],'[1]BASE DE VIM''s-NF''s'!F:F,'[1]BASE DE VIM''s-NF''s'!L:L,"")</f>
        <v>001464803-3</v>
      </c>
      <c r="K29" s="15" t="str">
        <f>_xlfn.XLOOKUP(Table1[[#This Row],[VIM]],'[1]BASE DE VIM''s-NF''s'!F:F,'[1]BASE DE VIM''s-NF''s'!G:G,"")</f>
        <v>ANHANGUERA COMERCIO DE</v>
      </c>
      <c r="L29" s="15" t="str">
        <f>_xlfn.XLOOKUP(Table1[[#This Row],[PEDIDO]],'[1]BASE DE VIM''s-NF''s'!I:I,'[1]BASE DE VIM''s-NF''s'!R:R,"")</f>
        <v>6,860.71</v>
      </c>
      <c r="M29" s="14" t="s">
        <v>12</v>
      </c>
    </row>
    <row r="30" spans="1:13" x14ac:dyDescent="0.3">
      <c r="A30" s="24">
        <v>45915</v>
      </c>
      <c r="B30" s="25" t="s">
        <v>229</v>
      </c>
      <c r="C30" s="11" t="s">
        <v>10</v>
      </c>
      <c r="D30" s="17" t="s">
        <v>41</v>
      </c>
      <c r="E30" s="12" t="s">
        <v>11</v>
      </c>
      <c r="F30" s="13">
        <v>1076763643</v>
      </c>
      <c r="G30" s="14">
        <v>4501710190</v>
      </c>
      <c r="H30" s="15">
        <f>IF(Table1[[#This Row],[PEDIDO]]&lt;&gt;"",_xlfn.XLOOKUP(Table1[[#This Row],[PEDIDO]],'[1]BASE DE VIM''s-NF''s'!I:I,'[1]BASE DE VIM''s-NF''s'!F:F,"-"),"-")</f>
        <v>2923546</v>
      </c>
      <c r="I30" s="16" t="str">
        <f>_xlfn.XLOOKUP(Table1[[#This Row],[VIM]],'[1]BASE DE VIM''s-NF''s'!F:F,'[1]BASE DE VIM''s-NF''s'!A:A,"")</f>
        <v>Lançado</v>
      </c>
      <c r="J30" s="15" t="str">
        <f>_xlfn.XLOOKUP(Table1[[#This Row],[VIM]],'[1]BASE DE VIM''s-NF''s'!F:F,'[1]BASE DE VIM''s-NF''s'!L:L,"")</f>
        <v>000001306-1</v>
      </c>
      <c r="K30" s="15" t="str">
        <f>_xlfn.XLOOKUP(Table1[[#This Row],[VIM]],'[1]BASE DE VIM''s-NF''s'!F:F,'[1]BASE DE VIM''s-NF''s'!G:G,"")</f>
        <v>HMTG BRINDES LTDA.</v>
      </c>
      <c r="L30" s="15" t="str">
        <f>_xlfn.XLOOKUP(Table1[[#This Row],[PEDIDO]],'[1]BASE DE VIM''s-NF''s'!I:I,'[1]BASE DE VIM''s-NF''s'!R:R,"")</f>
        <v>1,097.82</v>
      </c>
      <c r="M30" s="14" t="s">
        <v>12</v>
      </c>
    </row>
    <row r="31" spans="1:13" x14ac:dyDescent="0.3">
      <c r="A31" s="24">
        <v>45916</v>
      </c>
      <c r="B31" s="25" t="s">
        <v>229</v>
      </c>
      <c r="C31" s="11" t="s">
        <v>10</v>
      </c>
      <c r="D31" s="17" t="s">
        <v>42</v>
      </c>
      <c r="E31" s="12" t="s">
        <v>11</v>
      </c>
      <c r="F31" s="13">
        <v>1076792855</v>
      </c>
      <c r="G31" s="14">
        <v>4501710241</v>
      </c>
      <c r="H31" s="15">
        <f>IF(Table1[[#This Row],[PEDIDO]]&lt;&gt;"",_xlfn.XLOOKUP(Table1[[#This Row],[PEDIDO]],'[1]BASE DE VIM''s-NF''s'!I:I,'[1]BASE DE VIM''s-NF''s'!F:F,"-"),"-")</f>
        <v>2923433</v>
      </c>
      <c r="I31" s="16" t="str">
        <f>_xlfn.XLOOKUP(Table1[[#This Row],[VIM]],'[1]BASE DE VIM''s-NF''s'!F:F,'[1]BASE DE VIM''s-NF''s'!A:A,"")</f>
        <v>Lançado</v>
      </c>
      <c r="J31" s="15" t="str">
        <f>_xlfn.XLOOKUP(Table1[[#This Row],[VIM]],'[1]BASE DE VIM''s-NF''s'!F:F,'[1]BASE DE VIM''s-NF''s'!L:L,"")</f>
        <v>000125400-1</v>
      </c>
      <c r="K31" s="15" t="str">
        <f>_xlfn.XLOOKUP(Table1[[#This Row],[VIM]],'[1]BASE DE VIM''s-NF''s'!F:F,'[1]BASE DE VIM''s-NF''s'!G:G,"")</f>
        <v>TIAGO DE BROI EIRELI EPP.</v>
      </c>
      <c r="L31" s="15" t="str">
        <f>_xlfn.XLOOKUP(Table1[[#This Row],[PEDIDO]],'[1]BASE DE VIM''s-NF''s'!I:I,'[1]BASE DE VIM''s-NF''s'!R:R,"")</f>
        <v>516.28</v>
      </c>
      <c r="M31" s="14" t="s">
        <v>12</v>
      </c>
    </row>
    <row r="32" spans="1:13" x14ac:dyDescent="0.3">
      <c r="A32" s="24">
        <v>45916</v>
      </c>
      <c r="B32" s="25" t="s">
        <v>229</v>
      </c>
      <c r="C32" s="11" t="s">
        <v>10</v>
      </c>
      <c r="D32" s="17" t="s">
        <v>43</v>
      </c>
      <c r="E32" s="12" t="s">
        <v>11</v>
      </c>
      <c r="F32" s="13">
        <v>1076792859</v>
      </c>
      <c r="G32" s="14">
        <v>4501710242</v>
      </c>
      <c r="H32" s="15">
        <f>IF(Table1[[#This Row],[PEDIDO]]&lt;&gt;"",_xlfn.XLOOKUP(Table1[[#This Row],[PEDIDO]],'[1]BASE DE VIM''s-NF''s'!I:I,'[1]BASE DE VIM''s-NF''s'!F:F,"-"),"-")</f>
        <v>2927599</v>
      </c>
      <c r="I32" s="16" t="str">
        <f>_xlfn.XLOOKUP(Table1[[#This Row],[VIM]],'[1]BASE DE VIM''s-NF''s'!F:F,'[1]BASE DE VIM''s-NF''s'!A:A,"")</f>
        <v>Lançado</v>
      </c>
      <c r="J32" s="15" t="str">
        <f>_xlfn.XLOOKUP(Table1[[#This Row],[VIM]],'[1]BASE DE VIM''s-NF''s'!F:F,'[1]BASE DE VIM''s-NF''s'!L:L,"")</f>
        <v>000007199-1</v>
      </c>
      <c r="K32" s="15" t="str">
        <f>_xlfn.XLOOKUP(Table1[[#This Row],[VIM]],'[1]BASE DE VIM''s-NF''s'!F:F,'[1]BASE DE VIM''s-NF''s'!G:G,"")</f>
        <v>ROVAMEC USINAGEM LTDA. EPP.</v>
      </c>
      <c r="L32" s="15" t="str">
        <f>_xlfn.XLOOKUP(Table1[[#This Row],[PEDIDO]],'[1]BASE DE VIM''s-NF''s'!I:I,'[1]BASE DE VIM''s-NF''s'!R:R,"")</f>
        <v>2,985.00</v>
      </c>
      <c r="M32" s="14" t="s">
        <v>12</v>
      </c>
    </row>
    <row r="33" spans="1:13" x14ac:dyDescent="0.3">
      <c r="A33" s="24">
        <v>45917</v>
      </c>
      <c r="B33" s="25" t="s">
        <v>229</v>
      </c>
      <c r="C33" s="11" t="s">
        <v>10</v>
      </c>
      <c r="D33" s="17" t="s">
        <v>44</v>
      </c>
      <c r="E33" s="12" t="s">
        <v>11</v>
      </c>
      <c r="F33" s="13">
        <v>1076793131</v>
      </c>
      <c r="G33" s="14">
        <v>4501710375</v>
      </c>
      <c r="H33" s="15">
        <f>IF(Table1[[#This Row],[PEDIDO]]&lt;&gt;"",_xlfn.XLOOKUP(Table1[[#This Row],[PEDIDO]],'[1]BASE DE VIM''s-NF''s'!I:I,'[1]BASE DE VIM''s-NF''s'!F:F,"-"),"-")</f>
        <v>2923949</v>
      </c>
      <c r="I33" s="16" t="str">
        <f>_xlfn.XLOOKUP(Table1[[#This Row],[VIM]],'[1]BASE DE VIM''s-NF''s'!F:F,'[1]BASE DE VIM''s-NF''s'!A:A,"")</f>
        <v>Lançado</v>
      </c>
      <c r="J33" s="15" t="str">
        <f>_xlfn.XLOOKUP(Table1[[#This Row],[VIM]],'[1]BASE DE VIM''s-NF''s'!F:F,'[1]BASE DE VIM''s-NF''s'!L:L,"")</f>
        <v>000125498-1</v>
      </c>
      <c r="K33" s="15" t="str">
        <f>_xlfn.XLOOKUP(Table1[[#This Row],[VIM]],'[1]BASE DE VIM''s-NF''s'!F:F,'[1]BASE DE VIM''s-NF''s'!G:G,"")</f>
        <v>TIAGO DE BROI EIRELI EPP.</v>
      </c>
      <c r="L33" s="15" t="str">
        <f>_xlfn.XLOOKUP(Table1[[#This Row],[PEDIDO]],'[1]BASE DE VIM''s-NF''s'!I:I,'[1]BASE DE VIM''s-NF''s'!R:R,"")</f>
        <v>545.48</v>
      </c>
      <c r="M33" s="14" t="s">
        <v>12</v>
      </c>
    </row>
    <row r="34" spans="1:13" ht="27.6" x14ac:dyDescent="0.3">
      <c r="A34" s="24">
        <v>45918</v>
      </c>
      <c r="B34" s="25" t="s">
        <v>228</v>
      </c>
      <c r="C34" s="11" t="s">
        <v>10</v>
      </c>
      <c r="D34" s="17" t="s">
        <v>45</v>
      </c>
      <c r="E34" s="12" t="s">
        <v>11</v>
      </c>
      <c r="F34" s="13">
        <v>1076801408</v>
      </c>
      <c r="G34" s="14">
        <v>4501710728</v>
      </c>
      <c r="H34" s="15">
        <f>IF(Table1[[#This Row],[PEDIDO]]&lt;&gt;"",_xlfn.XLOOKUP(Table1[[#This Row],[PEDIDO]],'[1]BASE DE VIM''s-NF''s'!I:I,'[1]BASE DE VIM''s-NF''s'!F:F,"-"),"-")</f>
        <v>2922618</v>
      </c>
      <c r="I34" s="16" t="str">
        <f>_xlfn.XLOOKUP(Table1[[#This Row],[VIM]],'[1]BASE DE VIM''s-NF''s'!F:F,'[1]BASE DE VIM''s-NF''s'!A:A,"")</f>
        <v>Lançado</v>
      </c>
      <c r="J34" s="15" t="str">
        <f>_xlfn.XLOOKUP(Table1[[#This Row],[VIM]],'[1]BASE DE VIM''s-NF''s'!F:F,'[1]BASE DE VIM''s-NF''s'!L:L,"")</f>
        <v>000007178-1</v>
      </c>
      <c r="K34" s="15" t="str">
        <f>_xlfn.XLOOKUP(Table1[[#This Row],[VIM]],'[1]BASE DE VIM''s-NF''s'!F:F,'[1]BASE DE VIM''s-NF''s'!G:G,"")</f>
        <v>ROVAMEC USINAGEM LTDA. EPP.</v>
      </c>
      <c r="L34" s="15" t="str">
        <f>_xlfn.XLOOKUP(Table1[[#This Row],[PEDIDO]],'[1]BASE DE VIM''s-NF''s'!I:I,'[1]BASE DE VIM''s-NF''s'!R:R,"")</f>
        <v>150.00</v>
      </c>
      <c r="M34" s="14" t="s">
        <v>12</v>
      </c>
    </row>
    <row r="35" spans="1:13" x14ac:dyDescent="0.3">
      <c r="A35" s="24">
        <v>45922</v>
      </c>
      <c r="B35" s="25" t="s">
        <v>229</v>
      </c>
      <c r="C35" s="11" t="s">
        <v>10</v>
      </c>
      <c r="D35" s="17" t="s">
        <v>46</v>
      </c>
      <c r="E35" s="12" t="s">
        <v>11</v>
      </c>
      <c r="F35" s="13">
        <v>1076857491</v>
      </c>
      <c r="G35" s="14">
        <v>4501711243</v>
      </c>
      <c r="H35" s="15">
        <f>IF(Table1[[#This Row],[PEDIDO]]&lt;&gt;"",_xlfn.XLOOKUP(Table1[[#This Row],[PEDIDO]],'[1]BASE DE VIM''s-NF''s'!I:I,'[1]BASE DE VIM''s-NF''s'!F:F,"-"),"-")</f>
        <v>2929607</v>
      </c>
      <c r="I35" s="16" t="str">
        <f>_xlfn.XLOOKUP(Table1[[#This Row],[VIM]],'[1]BASE DE VIM''s-NF''s'!F:F,'[1]BASE DE VIM''s-NF''s'!A:A,"")</f>
        <v>Lançado</v>
      </c>
      <c r="J35" s="15" t="str">
        <f>_xlfn.XLOOKUP(Table1[[#This Row],[VIM]],'[1]BASE DE VIM''s-NF''s'!F:F,'[1]BASE DE VIM''s-NF''s'!L:L,"")</f>
        <v>000126622-1</v>
      </c>
      <c r="K35" s="15" t="str">
        <f>_xlfn.XLOOKUP(Table1[[#This Row],[VIM]],'[1]BASE DE VIM''s-NF''s'!F:F,'[1]BASE DE VIM''s-NF''s'!G:G,"")</f>
        <v>TIAGO DE BROI EIRELI EPP.</v>
      </c>
      <c r="L35" s="15" t="str">
        <f>_xlfn.XLOOKUP(Table1[[#This Row],[PEDIDO]],'[1]BASE DE VIM''s-NF''s'!I:I,'[1]BASE DE VIM''s-NF''s'!R:R,"")</f>
        <v>2,180.16</v>
      </c>
      <c r="M35" s="14" t="s">
        <v>12</v>
      </c>
    </row>
    <row r="36" spans="1:13" x14ac:dyDescent="0.3">
      <c r="A36" s="24">
        <v>45924</v>
      </c>
      <c r="B36" s="25" t="s">
        <v>228</v>
      </c>
      <c r="C36" s="11" t="s">
        <v>10</v>
      </c>
      <c r="D36" s="17" t="s">
        <v>47</v>
      </c>
      <c r="E36" s="12" t="s">
        <v>11</v>
      </c>
      <c r="F36" s="13">
        <v>1076910463</v>
      </c>
      <c r="G36" s="14">
        <v>4501711258</v>
      </c>
      <c r="H36" s="15">
        <f>IF(Table1[[#This Row],[PEDIDO]]&lt;&gt;"",_xlfn.XLOOKUP(Table1[[#This Row],[PEDIDO]],'[1]BASE DE VIM''s-NF''s'!I:I,'[1]BASE DE VIM''s-NF''s'!F:F,"-"),"-")</f>
        <v>2925730</v>
      </c>
      <c r="I36" s="16" t="str">
        <f>_xlfn.XLOOKUP(Table1[[#This Row],[VIM]],'[1]BASE DE VIM''s-NF''s'!F:F,'[1]BASE DE VIM''s-NF''s'!A:A,"")</f>
        <v>Lançado</v>
      </c>
      <c r="J36" s="15" t="str">
        <f>_xlfn.XLOOKUP(Table1[[#This Row],[VIM]],'[1]BASE DE VIM''s-NF''s'!F:F,'[1]BASE DE VIM''s-NF''s'!L:L,"")</f>
        <v>001469513-3</v>
      </c>
      <c r="K36" s="15" t="str">
        <f>_xlfn.XLOOKUP(Table1[[#This Row],[VIM]],'[1]BASE DE VIM''s-NF''s'!F:F,'[1]BASE DE VIM''s-NF''s'!G:G,"")</f>
        <v>ANHANGUERA COMERCIO DE</v>
      </c>
      <c r="L36" s="15" t="str">
        <f>_xlfn.XLOOKUP(Table1[[#This Row],[PEDIDO]],'[1]BASE DE VIM''s-NF''s'!I:I,'[1]BASE DE VIM''s-NF''s'!R:R,"")</f>
        <v>123.60</v>
      </c>
      <c r="M36" s="14" t="s">
        <v>12</v>
      </c>
    </row>
    <row r="37" spans="1:13" x14ac:dyDescent="0.3">
      <c r="A37" s="24">
        <v>45925</v>
      </c>
      <c r="B37" s="25" t="s">
        <v>228</v>
      </c>
      <c r="C37" s="11" t="s">
        <v>10</v>
      </c>
      <c r="D37" s="17" t="s">
        <v>48</v>
      </c>
      <c r="E37" s="12" t="s">
        <v>11</v>
      </c>
      <c r="F37" s="13">
        <v>1076922949</v>
      </c>
      <c r="G37" s="14">
        <v>4501711506</v>
      </c>
      <c r="H37" s="15">
        <f>IF(Table1[[#This Row],[PEDIDO]]&lt;&gt;"",_xlfn.XLOOKUP(Table1[[#This Row],[PEDIDO]],'[1]BASE DE VIM''s-NF''s'!I:I,'[1]BASE DE VIM''s-NF''s'!F:F,"-"),"-")</f>
        <v>2925589</v>
      </c>
      <c r="I37" s="16" t="str">
        <f>_xlfn.XLOOKUP(Table1[[#This Row],[VIM]],'[1]BASE DE VIM''s-NF''s'!F:F,'[1]BASE DE VIM''s-NF''s'!A:A,"")</f>
        <v>Lançado</v>
      </c>
      <c r="J37" s="15" t="str">
        <f>_xlfn.XLOOKUP(Table1[[#This Row],[VIM]],'[1]BASE DE VIM''s-NF''s'!F:F,'[1]BASE DE VIM''s-NF''s'!L:L,"")</f>
        <v>001469194-3</v>
      </c>
      <c r="K37" s="15" t="str">
        <f>_xlfn.XLOOKUP(Table1[[#This Row],[VIM]],'[1]BASE DE VIM''s-NF''s'!F:F,'[1]BASE DE VIM''s-NF''s'!G:G,"")</f>
        <v>ANHANGUERA COMERCIO DE</v>
      </c>
      <c r="L37" s="15" t="str">
        <f>_xlfn.XLOOKUP(Table1[[#This Row],[PEDIDO]],'[1]BASE DE VIM''s-NF''s'!I:I,'[1]BASE DE VIM''s-NF''s'!R:R,"")</f>
        <v>5,319.08</v>
      </c>
      <c r="M37" s="14" t="s">
        <v>12</v>
      </c>
    </row>
    <row r="38" spans="1:13" x14ac:dyDescent="0.3">
      <c r="A38" s="24">
        <v>45926</v>
      </c>
      <c r="B38" s="25" t="s">
        <v>228</v>
      </c>
      <c r="C38" s="11" t="s">
        <v>10</v>
      </c>
      <c r="D38" s="17" t="s">
        <v>49</v>
      </c>
      <c r="E38" s="12" t="s">
        <v>11</v>
      </c>
      <c r="F38" s="13">
        <v>1076935991</v>
      </c>
      <c r="G38" s="14">
        <v>4501711510</v>
      </c>
      <c r="H38" s="15">
        <f>IF(Table1[[#This Row],[PEDIDO]]&lt;&gt;"",_xlfn.XLOOKUP(Table1[[#This Row],[PEDIDO]],'[1]BASE DE VIM''s-NF''s'!I:I,'[1]BASE DE VIM''s-NF''s'!F:F,"-"),"-")</f>
        <v>2928011</v>
      </c>
      <c r="I38" s="16" t="str">
        <f>_xlfn.XLOOKUP(Table1[[#This Row],[VIM]],'[1]BASE DE VIM''s-NF''s'!F:F,'[1]BASE DE VIM''s-NF''s'!A:A,"")</f>
        <v>Lançado</v>
      </c>
      <c r="J38" s="15" t="str">
        <f>_xlfn.XLOOKUP(Table1[[#This Row],[VIM]],'[1]BASE DE VIM''s-NF''s'!F:F,'[1]BASE DE VIM''s-NF''s'!L:L,"")</f>
        <v>000126306-1</v>
      </c>
      <c r="K38" s="15" t="str">
        <f>_xlfn.XLOOKUP(Table1[[#This Row],[VIM]],'[1]BASE DE VIM''s-NF''s'!F:F,'[1]BASE DE VIM''s-NF''s'!G:G,"")</f>
        <v>TIAGO DE BROI EIRELI EPP.</v>
      </c>
      <c r="L38" s="15" t="str">
        <f>_xlfn.XLOOKUP(Table1[[#This Row],[PEDIDO]],'[1]BASE DE VIM''s-NF''s'!I:I,'[1]BASE DE VIM''s-NF''s'!R:R,"")</f>
        <v>1,676.07</v>
      </c>
      <c r="M38" s="14" t="s">
        <v>12</v>
      </c>
    </row>
    <row r="39" spans="1:13" x14ac:dyDescent="0.3">
      <c r="A39" s="24">
        <v>45926</v>
      </c>
      <c r="B39" s="25" t="s">
        <v>229</v>
      </c>
      <c r="C39" s="11" t="s">
        <v>10</v>
      </c>
      <c r="D39" s="17" t="s">
        <v>41</v>
      </c>
      <c r="E39" s="12" t="s">
        <v>11</v>
      </c>
      <c r="F39" s="13">
        <v>1076936035</v>
      </c>
      <c r="G39" s="14">
        <v>4501711521</v>
      </c>
      <c r="H39" s="15">
        <f>IF(Table1[[#This Row],[PEDIDO]]&lt;&gt;"",_xlfn.XLOOKUP(Table1[[#This Row],[PEDIDO]],'[1]BASE DE VIM''s-NF''s'!I:I,'[1]BASE DE VIM''s-NF''s'!F:F,"-"),"-")</f>
        <v>2925413</v>
      </c>
      <c r="I39" s="16" t="str">
        <f>_xlfn.XLOOKUP(Table1[[#This Row],[VIM]],'[1]BASE DE VIM''s-NF''s'!F:F,'[1]BASE DE VIM''s-NF''s'!A:A,"")</f>
        <v>Lançado</v>
      </c>
      <c r="J39" s="15" t="str">
        <f>_xlfn.XLOOKUP(Table1[[#This Row],[VIM]],'[1]BASE DE VIM''s-NF''s'!F:F,'[1]BASE DE VIM''s-NF''s'!L:L,"")</f>
        <v>000002484-1</v>
      </c>
      <c r="K39" s="15" t="str">
        <f>_xlfn.XLOOKUP(Table1[[#This Row],[VIM]],'[1]BASE DE VIM''s-NF''s'!F:F,'[1]BASE DE VIM''s-NF''s'!G:G,"")</f>
        <v>VERA A. BIANCHINI AFONSO ADESIVOS -</v>
      </c>
      <c r="L39" s="15" t="str">
        <f>_xlfn.XLOOKUP(Table1[[#This Row],[PEDIDO]],'[1]BASE DE VIM''s-NF''s'!I:I,'[1]BASE DE VIM''s-NF''s'!R:R,"")</f>
        <v>1,440.00</v>
      </c>
      <c r="M39" s="14" t="s">
        <v>12</v>
      </c>
    </row>
    <row r="40" spans="1:13" x14ac:dyDescent="0.3">
      <c r="A40" s="24">
        <v>45930</v>
      </c>
      <c r="B40" s="25" t="s">
        <v>228</v>
      </c>
      <c r="C40" s="11" t="s">
        <v>10</v>
      </c>
      <c r="D40" s="17" t="s">
        <v>50</v>
      </c>
      <c r="E40" s="12" t="s">
        <v>11</v>
      </c>
      <c r="F40" s="13">
        <v>1076959949</v>
      </c>
      <c r="G40" s="14">
        <v>4501711799</v>
      </c>
      <c r="H40" s="15">
        <f>IF(Table1[[#This Row],[PEDIDO]]&lt;&gt;"",_xlfn.XLOOKUP(Table1[[#This Row],[PEDIDO]],'[1]BASE DE VIM''s-NF''s'!I:I,'[1]BASE DE VIM''s-NF''s'!F:F,"-"),"-")</f>
        <v>2927595</v>
      </c>
      <c r="I40" s="16" t="str">
        <f>_xlfn.XLOOKUP(Table1[[#This Row],[VIM]],'[1]BASE DE VIM''s-NF''s'!F:F,'[1]BASE DE VIM''s-NF''s'!A:A,"")</f>
        <v>Lançado</v>
      </c>
      <c r="J40" s="15" t="str">
        <f>_xlfn.XLOOKUP(Table1[[#This Row],[VIM]],'[1]BASE DE VIM''s-NF''s'!F:F,'[1]BASE DE VIM''s-NF''s'!L:L,"")</f>
        <v>000007196-1</v>
      </c>
      <c r="K40" s="15" t="str">
        <f>_xlfn.XLOOKUP(Table1[[#This Row],[VIM]],'[1]BASE DE VIM''s-NF''s'!F:F,'[1]BASE DE VIM''s-NF''s'!G:G,"")</f>
        <v>ROVAMEC USINAGEM LTDA. EPP.</v>
      </c>
      <c r="L40" s="15" t="str">
        <f>_xlfn.XLOOKUP(Table1[[#This Row],[PEDIDO]],'[1]BASE DE VIM''s-NF''s'!I:I,'[1]BASE DE VIM''s-NF''s'!R:R,"")</f>
        <v>560.00</v>
      </c>
      <c r="M40" s="14" t="s">
        <v>12</v>
      </c>
    </row>
    <row r="41" spans="1:13" x14ac:dyDescent="0.3">
      <c r="A41" s="24">
        <v>45930</v>
      </c>
      <c r="B41" s="25" t="s">
        <v>228</v>
      </c>
      <c r="C41" s="11" t="s">
        <v>10</v>
      </c>
      <c r="D41" s="17" t="s">
        <v>51</v>
      </c>
      <c r="E41" s="12" t="s">
        <v>11</v>
      </c>
      <c r="F41" s="13">
        <v>1076959983</v>
      </c>
      <c r="G41" s="14">
        <v>4501711809</v>
      </c>
      <c r="H41" s="15">
        <f>IF(Table1[[#This Row],[PEDIDO]]&lt;&gt;"",_xlfn.XLOOKUP(Table1[[#This Row],[PEDIDO]],'[1]BASE DE VIM''s-NF''s'!I:I,'[1]BASE DE VIM''s-NF''s'!F:F,"-"),"-")</f>
        <v>2927594</v>
      </c>
      <c r="I41" s="16" t="str">
        <f>_xlfn.XLOOKUP(Table1[[#This Row],[VIM]],'[1]BASE DE VIM''s-NF''s'!F:F,'[1]BASE DE VIM''s-NF''s'!A:A,"")</f>
        <v>Lançado</v>
      </c>
      <c r="J41" s="15" t="str">
        <f>_xlfn.XLOOKUP(Table1[[#This Row],[VIM]],'[1]BASE DE VIM''s-NF''s'!F:F,'[1]BASE DE VIM''s-NF''s'!L:L,"")</f>
        <v>000007195-1</v>
      </c>
      <c r="K41" s="15" t="str">
        <f>_xlfn.XLOOKUP(Table1[[#This Row],[VIM]],'[1]BASE DE VIM''s-NF''s'!F:F,'[1]BASE DE VIM''s-NF''s'!G:G,"")</f>
        <v>ROVAMEC USINAGEM LTDA. EPP.</v>
      </c>
      <c r="L41" s="15" t="str">
        <f>_xlfn.XLOOKUP(Table1[[#This Row],[PEDIDO]],'[1]BASE DE VIM''s-NF''s'!I:I,'[1]BASE DE VIM''s-NF''s'!R:R,"")</f>
        <v>490.00</v>
      </c>
      <c r="M41" s="14" t="s">
        <v>12</v>
      </c>
    </row>
    <row r="42" spans="1:13" x14ac:dyDescent="0.3">
      <c r="A42" s="24">
        <v>45930</v>
      </c>
      <c r="B42" s="25" t="s">
        <v>228</v>
      </c>
      <c r="C42" s="11" t="s">
        <v>10</v>
      </c>
      <c r="D42" s="17" t="s">
        <v>52</v>
      </c>
      <c r="E42" s="12" t="s">
        <v>11</v>
      </c>
      <c r="F42" s="13">
        <v>1076959985</v>
      </c>
      <c r="G42" s="14">
        <v>4501711812</v>
      </c>
      <c r="H42" s="15">
        <f>IF(Table1[[#This Row],[PEDIDO]]&lt;&gt;"",_xlfn.XLOOKUP(Table1[[#This Row],[PEDIDO]],'[1]BASE DE VIM''s-NF''s'!I:I,'[1]BASE DE VIM''s-NF''s'!F:F,"-"),"-")</f>
        <v>2927591</v>
      </c>
      <c r="I42" s="16" t="str">
        <f>_xlfn.XLOOKUP(Table1[[#This Row],[VIM]],'[1]BASE DE VIM''s-NF''s'!F:F,'[1]BASE DE VIM''s-NF''s'!A:A,"")</f>
        <v>Lançado</v>
      </c>
      <c r="J42" s="15" t="str">
        <f>_xlfn.XLOOKUP(Table1[[#This Row],[VIM]],'[1]BASE DE VIM''s-NF''s'!F:F,'[1]BASE DE VIM''s-NF''s'!L:L,"")</f>
        <v>000007194-1</v>
      </c>
      <c r="K42" s="15" t="str">
        <f>_xlfn.XLOOKUP(Table1[[#This Row],[VIM]],'[1]BASE DE VIM''s-NF''s'!F:F,'[1]BASE DE VIM''s-NF''s'!G:G,"")</f>
        <v>ROVAMEC USINAGEM LTDA. EPP.</v>
      </c>
      <c r="L42" s="15" t="str">
        <f>_xlfn.XLOOKUP(Table1[[#This Row],[PEDIDO]],'[1]BASE DE VIM''s-NF''s'!I:I,'[1]BASE DE VIM''s-NF''s'!R:R,"")</f>
        <v>480.00</v>
      </c>
      <c r="M42" s="14" t="s">
        <v>12</v>
      </c>
    </row>
    <row r="43" spans="1:13" x14ac:dyDescent="0.3">
      <c r="A43" s="24">
        <v>45931</v>
      </c>
      <c r="B43" s="25" t="s">
        <v>228</v>
      </c>
      <c r="C43" s="11" t="s">
        <v>10</v>
      </c>
      <c r="D43" s="17" t="s">
        <v>53</v>
      </c>
      <c r="E43" s="12" t="s">
        <v>11</v>
      </c>
      <c r="F43" s="13">
        <v>1076974754</v>
      </c>
      <c r="G43" s="14">
        <v>4501711958</v>
      </c>
      <c r="H43" s="15">
        <f>IF(Table1[[#This Row],[PEDIDO]]&lt;&gt;"",_xlfn.XLOOKUP(Table1[[#This Row],[PEDIDO]],'[1]BASE DE VIM''s-NF''s'!I:I,'[1]BASE DE VIM''s-NF''s'!F:F,"-"),"-")</f>
        <v>2935694</v>
      </c>
      <c r="I43" s="16" t="str">
        <f>_xlfn.XLOOKUP(Table1[[#This Row],[VIM]],'[1]BASE DE VIM''s-NF''s'!F:F,'[1]BASE DE VIM''s-NF''s'!A:A,"")</f>
        <v>Lançado</v>
      </c>
      <c r="J43" s="15" t="str">
        <f>_xlfn.XLOOKUP(Table1[[#This Row],[VIM]],'[1]BASE DE VIM''s-NF''s'!F:F,'[1]BASE DE VIM''s-NF''s'!L:L,"")</f>
        <v>000000694-9</v>
      </c>
      <c r="K43" s="15" t="str">
        <f>_xlfn.XLOOKUP(Table1[[#This Row],[VIM]],'[1]BASE DE VIM''s-NF''s'!F:F,'[1]BASE DE VIM''s-NF''s'!G:G,"")</f>
        <v>ESTRUTURAS E EQUIPAMENTOS</v>
      </c>
      <c r="L43" s="15" t="str">
        <f>_xlfn.XLOOKUP(Table1[[#This Row],[PEDIDO]],'[1]BASE DE VIM''s-NF''s'!I:I,'[1]BASE DE VIM''s-NF''s'!R:R,"")</f>
        <v>8,310.00</v>
      </c>
      <c r="M43" s="14" t="s">
        <v>12</v>
      </c>
    </row>
    <row r="44" spans="1:13" x14ac:dyDescent="0.3">
      <c r="A44" s="24">
        <v>45931</v>
      </c>
      <c r="B44" s="25" t="s">
        <v>228</v>
      </c>
      <c r="C44" s="11" t="s">
        <v>10</v>
      </c>
      <c r="D44" s="17" t="s">
        <v>54</v>
      </c>
      <c r="E44" s="12" t="s">
        <v>11</v>
      </c>
      <c r="F44" s="13">
        <v>1076975727</v>
      </c>
      <c r="G44" s="14">
        <v>4501712874</v>
      </c>
      <c r="H44" s="15">
        <f>IF(Table1[[#This Row],[PEDIDO]]&lt;&gt;"",_xlfn.XLOOKUP(Table1[[#This Row],[PEDIDO]],'[1]BASE DE VIM''s-NF''s'!I:I,'[1]BASE DE VIM''s-NF''s'!F:F,"-"),"-")</f>
        <v>2928454</v>
      </c>
      <c r="I44" s="16" t="str">
        <f>_xlfn.XLOOKUP(Table1[[#This Row],[VIM]],'[1]BASE DE VIM''s-NF''s'!F:F,'[1]BASE DE VIM''s-NF''s'!A:A,"")</f>
        <v>Lançado</v>
      </c>
      <c r="J44" s="15" t="str">
        <f>_xlfn.XLOOKUP(Table1[[#This Row],[VIM]],'[1]BASE DE VIM''s-NF''s'!F:F,'[1]BASE DE VIM''s-NF''s'!L:L,"")</f>
        <v>000001321-1</v>
      </c>
      <c r="K44" s="15" t="str">
        <f>_xlfn.XLOOKUP(Table1[[#This Row],[VIM]],'[1]BASE DE VIM''s-NF''s'!F:F,'[1]BASE DE VIM''s-NF''s'!G:G,"")</f>
        <v>HMTG BRINDES LTDA.</v>
      </c>
      <c r="L44" s="15" t="str">
        <f>_xlfn.XLOOKUP(Table1[[#This Row],[PEDIDO]],'[1]BASE DE VIM''s-NF''s'!I:I,'[1]BASE DE VIM''s-NF''s'!R:R,"")</f>
        <v>3,265.65</v>
      </c>
      <c r="M44" s="14" t="s">
        <v>12</v>
      </c>
    </row>
    <row r="45" spans="1:13" x14ac:dyDescent="0.3">
      <c r="A45" s="24">
        <v>45931</v>
      </c>
      <c r="B45" s="25" t="s">
        <v>228</v>
      </c>
      <c r="C45" s="11" t="s">
        <v>10</v>
      </c>
      <c r="D45" s="17" t="s">
        <v>55</v>
      </c>
      <c r="E45" s="12" t="s">
        <v>11</v>
      </c>
      <c r="F45" s="13">
        <v>1076999654</v>
      </c>
      <c r="G45" s="14">
        <v>4501712458</v>
      </c>
      <c r="H45" s="15">
        <f>IF(Table1[[#This Row],[PEDIDO]]&lt;&gt;"",_xlfn.XLOOKUP(Table1[[#This Row],[PEDIDO]],'[1]BASE DE VIM''s-NF''s'!I:I,'[1]BASE DE VIM''s-NF''s'!F:F,"-"),"-")</f>
        <v>2933067</v>
      </c>
      <c r="I45" s="16" t="str">
        <f>_xlfn.XLOOKUP(Table1[[#This Row],[VIM]],'[1]BASE DE VIM''s-NF''s'!F:F,'[1]BASE DE VIM''s-NF''s'!A:A,"")</f>
        <v>Lançado</v>
      </c>
      <c r="J45" s="15" t="str">
        <f>_xlfn.XLOOKUP(Table1[[#This Row],[VIM]],'[1]BASE DE VIM''s-NF''s'!F:F,'[1]BASE DE VIM''s-NF''s'!L:L,"")</f>
        <v>000019134-2</v>
      </c>
      <c r="K45" s="15" t="str">
        <f>_xlfn.XLOOKUP(Table1[[#This Row],[VIM]],'[1]BASE DE VIM''s-NF''s'!F:F,'[1]BASE DE VIM''s-NF''s'!G:G,"")</f>
        <v>LIFTEC BRASIL SUPRIMENTOS</v>
      </c>
      <c r="L45" s="15" t="str">
        <f>_xlfn.XLOOKUP(Table1[[#This Row],[PEDIDO]],'[1]BASE DE VIM''s-NF''s'!I:I,'[1]BASE DE VIM''s-NF''s'!R:R,"")</f>
        <v>4,763.50</v>
      </c>
      <c r="M45" s="14" t="s">
        <v>12</v>
      </c>
    </row>
    <row r="46" spans="1:13" x14ac:dyDescent="0.3">
      <c r="A46" s="24">
        <v>45936</v>
      </c>
      <c r="B46" s="25" t="s">
        <v>228</v>
      </c>
      <c r="C46" s="11" t="s">
        <v>10</v>
      </c>
      <c r="D46" s="17" t="s">
        <v>56</v>
      </c>
      <c r="E46" s="12" t="s">
        <v>11</v>
      </c>
      <c r="F46" s="13">
        <v>1077024890</v>
      </c>
      <c r="G46" s="14">
        <v>4501712536</v>
      </c>
      <c r="H46" s="15">
        <f>IF(Table1[[#This Row],[PEDIDO]]&lt;&gt;"",_xlfn.XLOOKUP(Table1[[#This Row],[PEDIDO]],'[1]BASE DE VIM''s-NF''s'!I:I,'[1]BASE DE VIM''s-NF''s'!F:F,"-"),"-")</f>
        <v>2936093</v>
      </c>
      <c r="I46" s="16" t="str">
        <f>_xlfn.XLOOKUP(Table1[[#This Row],[VIM]],'[1]BASE DE VIM''s-NF''s'!F:F,'[1]BASE DE VIM''s-NF''s'!A:A,"")</f>
        <v>Lançado</v>
      </c>
      <c r="J46" s="15" t="str">
        <f>_xlfn.XLOOKUP(Table1[[#This Row],[VIM]],'[1]BASE DE VIM''s-NF''s'!F:F,'[1]BASE DE VIM''s-NF''s'!L:L,"")</f>
        <v>001485925-3</v>
      </c>
      <c r="K46" s="15" t="str">
        <f>_xlfn.XLOOKUP(Table1[[#This Row],[VIM]],'[1]BASE DE VIM''s-NF''s'!F:F,'[1]BASE DE VIM''s-NF''s'!G:G,"")</f>
        <v>ANHANGUERA COMERCIO DE</v>
      </c>
      <c r="L46" s="15" t="str">
        <f>_xlfn.XLOOKUP(Table1[[#This Row],[PEDIDO]],'[1]BASE DE VIM''s-NF''s'!I:I,'[1]BASE DE VIM''s-NF''s'!R:R,"")</f>
        <v>110.04</v>
      </c>
      <c r="M46" s="14" t="s">
        <v>12</v>
      </c>
    </row>
    <row r="47" spans="1:13" x14ac:dyDescent="0.3">
      <c r="A47" s="24">
        <v>45937</v>
      </c>
      <c r="B47" s="25" t="s">
        <v>229</v>
      </c>
      <c r="C47" s="11" t="s">
        <v>10</v>
      </c>
      <c r="D47" s="17" t="s">
        <v>57</v>
      </c>
      <c r="E47" s="12" t="s">
        <v>11</v>
      </c>
      <c r="F47" s="13">
        <v>1077048985</v>
      </c>
      <c r="G47" s="14">
        <v>4501712542</v>
      </c>
      <c r="H47" s="15">
        <f>IF(Table1[[#This Row],[PEDIDO]]&lt;&gt;"",_xlfn.XLOOKUP(Table1[[#This Row],[PEDIDO]],'[1]BASE DE VIM''s-NF''s'!I:I,'[1]BASE DE VIM''s-NF''s'!F:F,"-"),"-")</f>
        <v>2929188</v>
      </c>
      <c r="I47" s="16" t="str">
        <f>_xlfn.XLOOKUP(Table1[[#This Row],[VIM]],'[1]BASE DE VIM''s-NF''s'!F:F,'[1]BASE DE VIM''s-NF''s'!A:A,"")</f>
        <v>Lançado</v>
      </c>
      <c r="J47" s="15" t="str">
        <f>_xlfn.XLOOKUP(Table1[[#This Row],[VIM]],'[1]BASE DE VIM''s-NF''s'!F:F,'[1]BASE DE VIM''s-NF''s'!L:L,"")</f>
        <v>001474932-3</v>
      </c>
      <c r="K47" s="15" t="str">
        <f>_xlfn.XLOOKUP(Table1[[#This Row],[VIM]],'[1]BASE DE VIM''s-NF''s'!F:F,'[1]BASE DE VIM''s-NF''s'!G:G,"")</f>
        <v>ANHANGUERA COMERCIO DE</v>
      </c>
      <c r="L47" s="15" t="str">
        <f>_xlfn.XLOOKUP(Table1[[#This Row],[PEDIDO]],'[1]BASE DE VIM''s-NF''s'!I:I,'[1]BASE DE VIM''s-NF''s'!R:R,"")</f>
        <v>3,123.65</v>
      </c>
      <c r="M47" s="14" t="s">
        <v>12</v>
      </c>
    </row>
    <row r="48" spans="1:13" x14ac:dyDescent="0.3">
      <c r="A48" s="24">
        <v>45938</v>
      </c>
      <c r="B48" s="25" t="s">
        <v>229</v>
      </c>
      <c r="C48" s="11" t="s">
        <v>10</v>
      </c>
      <c r="D48" s="17" t="s">
        <v>58</v>
      </c>
      <c r="E48" s="12" t="s">
        <v>11</v>
      </c>
      <c r="F48" s="13">
        <v>1077049523</v>
      </c>
      <c r="G48" s="14">
        <v>4501712953</v>
      </c>
      <c r="H48" s="15">
        <f>IF(Table1[[#This Row],[PEDIDO]]&lt;&gt;"",_xlfn.XLOOKUP(Table1[[#This Row],[PEDIDO]],'[1]BASE DE VIM''s-NF''s'!I:I,'[1]BASE DE VIM''s-NF''s'!F:F,"-"),"-")</f>
        <v>2933207</v>
      </c>
      <c r="I48" s="16" t="str">
        <f>_xlfn.XLOOKUP(Table1[[#This Row],[VIM]],'[1]BASE DE VIM''s-NF''s'!F:F,'[1]BASE DE VIM''s-NF''s'!A:A,"")</f>
        <v>Lançado</v>
      </c>
      <c r="J48" s="15" t="str">
        <f>_xlfn.XLOOKUP(Table1[[#This Row],[VIM]],'[1]BASE DE VIM''s-NF''s'!F:F,'[1]BASE DE VIM''s-NF''s'!L:L,"")</f>
        <v>000127192-1</v>
      </c>
      <c r="K48" s="15" t="str">
        <f>_xlfn.XLOOKUP(Table1[[#This Row],[VIM]],'[1]BASE DE VIM''s-NF''s'!F:F,'[1]BASE DE VIM''s-NF''s'!G:G,"")</f>
        <v>TIAGO DE BROI EIRELI EPP.</v>
      </c>
      <c r="L48" s="15" t="str">
        <f>_xlfn.XLOOKUP(Table1[[#This Row],[PEDIDO]],'[1]BASE DE VIM''s-NF''s'!I:I,'[1]BASE DE VIM''s-NF''s'!R:R,"")</f>
        <v>231.44</v>
      </c>
      <c r="M48" s="14" t="s">
        <v>12</v>
      </c>
    </row>
    <row r="49" spans="1:13" x14ac:dyDescent="0.3">
      <c r="A49" s="24">
        <v>45939</v>
      </c>
      <c r="B49" s="25" t="s">
        <v>229</v>
      </c>
      <c r="C49" s="11" t="s">
        <v>10</v>
      </c>
      <c r="D49" s="17" t="s">
        <v>59</v>
      </c>
      <c r="E49" s="12" t="s">
        <v>11</v>
      </c>
      <c r="F49" s="13">
        <v>1077072304</v>
      </c>
      <c r="G49" s="14">
        <v>4501712973</v>
      </c>
      <c r="H49" s="15">
        <f>IF(Table1[[#This Row],[PEDIDO]]&lt;&gt;"",_xlfn.XLOOKUP(Table1[[#This Row],[PEDIDO]],'[1]BASE DE VIM''s-NF''s'!I:I,'[1]BASE DE VIM''s-NF''s'!F:F,"-"),"-")</f>
        <v>2932396</v>
      </c>
      <c r="I49" s="16" t="str">
        <f>_xlfn.XLOOKUP(Table1[[#This Row],[VIM]],'[1]BASE DE VIM''s-NF''s'!F:F,'[1]BASE DE VIM''s-NF''s'!A:A,"")</f>
        <v>Lançado</v>
      </c>
      <c r="J49" s="15" t="str">
        <f>_xlfn.XLOOKUP(Table1[[#This Row],[VIM]],'[1]BASE DE VIM''s-NF''s'!F:F,'[1]BASE DE VIM''s-NF''s'!L:L,"")</f>
        <v>000127092-1</v>
      </c>
      <c r="K49" s="15" t="str">
        <f>_xlfn.XLOOKUP(Table1[[#This Row],[VIM]],'[1]BASE DE VIM''s-NF''s'!F:F,'[1]BASE DE VIM''s-NF''s'!G:G,"")</f>
        <v>TIAGO DE BROI EIRELI EPP.</v>
      </c>
      <c r="L49" s="15" t="str">
        <f>_xlfn.XLOOKUP(Table1[[#This Row],[PEDIDO]],'[1]BASE DE VIM''s-NF''s'!I:I,'[1]BASE DE VIM''s-NF''s'!R:R,"")</f>
        <v>604.74</v>
      </c>
      <c r="M49" s="14" t="s">
        <v>12</v>
      </c>
    </row>
    <row r="50" spans="1:13" x14ac:dyDescent="0.3">
      <c r="A50" s="24">
        <v>45940</v>
      </c>
      <c r="B50" s="25" t="s">
        <v>229</v>
      </c>
      <c r="C50" s="11" t="s">
        <v>10</v>
      </c>
      <c r="D50" s="17" t="s">
        <v>60</v>
      </c>
      <c r="E50" s="12" t="s">
        <v>11</v>
      </c>
      <c r="F50" s="13">
        <v>1077072305</v>
      </c>
      <c r="G50" s="14">
        <v>4501712975</v>
      </c>
      <c r="H50" s="15">
        <f>IF(Table1[[#This Row],[PEDIDO]]&lt;&gt;"",_xlfn.XLOOKUP(Table1[[#This Row],[PEDIDO]],'[1]BASE DE VIM''s-NF''s'!I:I,'[1]BASE DE VIM''s-NF''s'!F:F,"-"),"-")</f>
        <v>2933909</v>
      </c>
      <c r="I50" s="16" t="str">
        <f>_xlfn.XLOOKUP(Table1[[#This Row],[VIM]],'[1]BASE DE VIM''s-NF''s'!F:F,'[1]BASE DE VIM''s-NF''s'!A:A,"")</f>
        <v>Lançado</v>
      </c>
      <c r="J50" s="15" t="str">
        <f>_xlfn.XLOOKUP(Table1[[#This Row],[VIM]],'[1]BASE DE VIM''s-NF''s'!F:F,'[1]BASE DE VIM''s-NF''s'!L:L,"")</f>
        <v>000127328-1</v>
      </c>
      <c r="K50" s="15" t="str">
        <f>_xlfn.XLOOKUP(Table1[[#This Row],[VIM]],'[1]BASE DE VIM''s-NF''s'!F:F,'[1]BASE DE VIM''s-NF''s'!G:G,"")</f>
        <v>TIAGO DE BROI EIRELI EPP.</v>
      </c>
      <c r="L50" s="15" t="str">
        <f>_xlfn.XLOOKUP(Table1[[#This Row],[PEDIDO]],'[1]BASE DE VIM''s-NF''s'!I:I,'[1]BASE DE VIM''s-NF''s'!R:R,"")</f>
        <v>1,768.48</v>
      </c>
      <c r="M50" s="14" t="s">
        <v>12</v>
      </c>
    </row>
    <row r="51" spans="1:13" x14ac:dyDescent="0.3">
      <c r="A51" s="24">
        <v>45941</v>
      </c>
      <c r="B51" s="25" t="s">
        <v>229</v>
      </c>
      <c r="C51" s="11" t="s">
        <v>10</v>
      </c>
      <c r="D51" s="17" t="s">
        <v>41</v>
      </c>
      <c r="E51" s="12" t="s">
        <v>11</v>
      </c>
      <c r="F51" s="13">
        <v>1077099047</v>
      </c>
      <c r="G51" s="14">
        <v>4501713191</v>
      </c>
      <c r="H51" s="15">
        <f>IF(Table1[[#This Row],[PEDIDO]]&lt;&gt;"",_xlfn.XLOOKUP(Table1[[#This Row],[PEDIDO]],'[1]BASE DE VIM''s-NF''s'!I:I,'[1]BASE DE VIM''s-NF''s'!F:F,"-"),"-")</f>
        <v>2930212</v>
      </c>
      <c r="I51" s="16" t="str">
        <f>_xlfn.XLOOKUP(Table1[[#This Row],[VIM]],'[1]BASE DE VIM''s-NF''s'!F:F,'[1]BASE DE VIM''s-NF''s'!A:A,"")</f>
        <v>Lançado</v>
      </c>
      <c r="J51" s="15" t="str">
        <f>_xlfn.XLOOKUP(Table1[[#This Row],[VIM]],'[1]BASE DE VIM''s-NF''s'!F:F,'[1]BASE DE VIM''s-NF''s'!L:L,"")</f>
        <v>000002486-1</v>
      </c>
      <c r="K51" s="15" t="str">
        <f>_xlfn.XLOOKUP(Table1[[#This Row],[VIM]],'[1]BASE DE VIM''s-NF''s'!F:F,'[1]BASE DE VIM''s-NF''s'!G:G,"")</f>
        <v>VERA A. BIANCHINI AFONSO ADESIVOS -</v>
      </c>
      <c r="L51" s="15" t="str">
        <f>_xlfn.XLOOKUP(Table1[[#This Row],[PEDIDO]],'[1]BASE DE VIM''s-NF''s'!I:I,'[1]BASE DE VIM''s-NF''s'!R:R,"")</f>
        <v>1,440.00</v>
      </c>
      <c r="M51" s="14" t="s">
        <v>12</v>
      </c>
    </row>
    <row r="52" spans="1:13" x14ac:dyDescent="0.3">
      <c r="A52" s="24">
        <v>45942</v>
      </c>
      <c r="B52" s="25" t="s">
        <v>228</v>
      </c>
      <c r="C52" s="11" t="s">
        <v>10</v>
      </c>
      <c r="D52" s="17" t="s">
        <v>61</v>
      </c>
      <c r="E52" s="12" t="s">
        <v>11</v>
      </c>
      <c r="F52" s="13">
        <v>1077131826</v>
      </c>
      <c r="G52" s="14">
        <v>4501713602</v>
      </c>
      <c r="H52" s="15">
        <f>IF(Table1[[#This Row],[PEDIDO]]&lt;&gt;"",_xlfn.XLOOKUP(Table1[[#This Row],[PEDIDO]],'[1]BASE DE VIM''s-NF''s'!I:I,'[1]BASE DE VIM''s-NF''s'!F:F,"-"),"-")</f>
        <v>2932980</v>
      </c>
      <c r="I52" s="16" t="str">
        <f>_xlfn.XLOOKUP(Table1[[#This Row],[VIM]],'[1]BASE DE VIM''s-NF''s'!F:F,'[1]BASE DE VIM''s-NF''s'!A:A,"")</f>
        <v>Lançado</v>
      </c>
      <c r="J52" s="15" t="str">
        <f>_xlfn.XLOOKUP(Table1[[#This Row],[VIM]],'[1]BASE DE VIM''s-NF''s'!F:F,'[1]BASE DE VIM''s-NF''s'!L:L,"")</f>
        <v>000007217-1</v>
      </c>
      <c r="K52" s="15" t="str">
        <f>_xlfn.XLOOKUP(Table1[[#This Row],[VIM]],'[1]BASE DE VIM''s-NF''s'!F:F,'[1]BASE DE VIM''s-NF''s'!G:G,"")</f>
        <v>ROVAMEC USINAGEM LTDA. EPP.</v>
      </c>
      <c r="L52" s="15" t="str">
        <f>_xlfn.XLOOKUP(Table1[[#This Row],[PEDIDO]],'[1]BASE DE VIM''s-NF''s'!I:I,'[1]BASE DE VIM''s-NF''s'!R:R,"")</f>
        <v>990.00</v>
      </c>
      <c r="M52" s="14" t="s">
        <v>12</v>
      </c>
    </row>
    <row r="53" spans="1:13" x14ac:dyDescent="0.3">
      <c r="A53" s="24">
        <v>45943</v>
      </c>
      <c r="B53" s="25" t="s">
        <v>229</v>
      </c>
      <c r="C53" s="11" t="s">
        <v>10</v>
      </c>
      <c r="D53" s="17" t="s">
        <v>62</v>
      </c>
      <c r="E53" s="12" t="s">
        <v>11</v>
      </c>
      <c r="F53" s="13">
        <v>1077131828</v>
      </c>
      <c r="G53" s="14">
        <v>4501713608</v>
      </c>
      <c r="H53" s="15">
        <f>IF(Table1[[#This Row],[PEDIDO]]&lt;&gt;"",_xlfn.XLOOKUP(Table1[[#This Row],[PEDIDO]],'[1]BASE DE VIM''s-NF''s'!I:I,'[1]BASE DE VIM''s-NF''s'!F:F,"-"),"-")</f>
        <v>2935343</v>
      </c>
      <c r="I53" s="16" t="str">
        <f>_xlfn.XLOOKUP(Table1[[#This Row],[VIM]],'[1]BASE DE VIM''s-NF''s'!F:F,'[1]BASE DE VIM''s-NF''s'!A:A,"")</f>
        <v>Lançado</v>
      </c>
      <c r="J53" s="15" t="str">
        <f>_xlfn.XLOOKUP(Table1[[#This Row],[VIM]],'[1]BASE DE VIM''s-NF''s'!F:F,'[1]BASE DE VIM''s-NF''s'!L:L,"")</f>
        <v>000127687-1</v>
      </c>
      <c r="K53" s="15" t="str">
        <f>_xlfn.XLOOKUP(Table1[[#This Row],[VIM]],'[1]BASE DE VIM''s-NF''s'!F:F,'[1]BASE DE VIM''s-NF''s'!G:G,"")</f>
        <v>TIAGO DE BROI EIRELI EPP.</v>
      </c>
      <c r="L53" s="15" t="str">
        <f>_xlfn.XLOOKUP(Table1[[#This Row],[PEDIDO]],'[1]BASE DE VIM''s-NF''s'!I:I,'[1]BASE DE VIM''s-NF''s'!R:R,"")</f>
        <v>564.55</v>
      </c>
      <c r="M53" s="14" t="s">
        <v>12</v>
      </c>
    </row>
    <row r="54" spans="1:13" x14ac:dyDescent="0.3">
      <c r="A54" s="24">
        <v>45944</v>
      </c>
      <c r="B54" s="25" t="s">
        <v>228</v>
      </c>
      <c r="C54" s="11" t="s">
        <v>10</v>
      </c>
      <c r="D54" s="17" t="s">
        <v>63</v>
      </c>
      <c r="E54" s="12" t="s">
        <v>11</v>
      </c>
      <c r="F54" s="13">
        <v>1077131829</v>
      </c>
      <c r="G54" s="14">
        <v>4501713644</v>
      </c>
      <c r="H54" s="15">
        <f>IF(Table1[[#This Row],[PEDIDO]]&lt;&gt;"",_xlfn.XLOOKUP(Table1[[#This Row],[PEDIDO]],'[1]BASE DE VIM''s-NF''s'!I:I,'[1]BASE DE VIM''s-NF''s'!F:F,"-"),"-")</f>
        <v>2932122</v>
      </c>
      <c r="I54" s="16" t="str">
        <f>_xlfn.XLOOKUP(Table1[[#This Row],[VIM]],'[1]BASE DE VIM''s-NF''s'!F:F,'[1]BASE DE VIM''s-NF''s'!A:A,"")</f>
        <v>Lançado</v>
      </c>
      <c r="J54" s="15" t="str">
        <f>_xlfn.XLOOKUP(Table1[[#This Row],[VIM]],'[1]BASE DE VIM''s-NF''s'!F:F,'[1]BASE DE VIM''s-NF''s'!L:L,"")</f>
        <v>001479225-3</v>
      </c>
      <c r="K54" s="15" t="str">
        <f>_xlfn.XLOOKUP(Table1[[#This Row],[VIM]],'[1]BASE DE VIM''s-NF''s'!F:F,'[1]BASE DE VIM''s-NF''s'!G:G,"")</f>
        <v>ANHANGUERA COMERCIO DE</v>
      </c>
      <c r="L54" s="15" t="str">
        <f>_xlfn.XLOOKUP(Table1[[#This Row],[PEDIDO]],'[1]BASE DE VIM''s-NF''s'!I:I,'[1]BASE DE VIM''s-NF''s'!R:R,"")</f>
        <v>863.45</v>
      </c>
      <c r="M54" s="14" t="s">
        <v>12</v>
      </c>
    </row>
    <row r="55" spans="1:13" x14ac:dyDescent="0.3">
      <c r="A55" s="24">
        <v>45945</v>
      </c>
      <c r="B55" s="25" t="s">
        <v>227</v>
      </c>
      <c r="C55" s="11" t="s">
        <v>10</v>
      </c>
      <c r="D55" s="17" t="s">
        <v>64</v>
      </c>
      <c r="E55" s="12" t="s">
        <v>11</v>
      </c>
      <c r="F55" s="13">
        <v>1077201739</v>
      </c>
      <c r="G55" s="14">
        <v>4501714035</v>
      </c>
      <c r="H55" s="15">
        <f>IF(Table1[[#This Row],[PEDIDO]]&lt;&gt;"",_xlfn.XLOOKUP(Table1[[#This Row],[PEDIDO]],'[1]BASE DE VIM''s-NF''s'!I:I,'[1]BASE DE VIM''s-NF''s'!F:F,"-"),"-")</f>
        <v>2934256</v>
      </c>
      <c r="I55" s="16" t="str">
        <f>_xlfn.XLOOKUP(Table1[[#This Row],[VIM]],'[1]BASE DE VIM''s-NF''s'!F:F,'[1]BASE DE VIM''s-NF''s'!A:A,"")</f>
        <v>Lançado</v>
      </c>
      <c r="J55" s="15" t="str">
        <f>_xlfn.XLOOKUP(Table1[[#This Row],[VIM]],'[1]BASE DE VIM''s-NF''s'!F:F,'[1]BASE DE VIM''s-NF''s'!L:L,"")</f>
        <v>001482451-3</v>
      </c>
      <c r="K55" s="15" t="str">
        <f>_xlfn.XLOOKUP(Table1[[#This Row],[VIM]],'[1]BASE DE VIM''s-NF''s'!F:F,'[1]BASE DE VIM''s-NF''s'!G:G,"")</f>
        <v>ANHANGUERA COMERCIO DE</v>
      </c>
      <c r="L55" s="15" t="str">
        <f>_xlfn.XLOOKUP(Table1[[#This Row],[PEDIDO]],'[1]BASE DE VIM''s-NF''s'!I:I,'[1]BASE DE VIM''s-NF''s'!R:R,"")</f>
        <v>1,389.05</v>
      </c>
      <c r="M55" s="14" t="s">
        <v>12</v>
      </c>
    </row>
    <row r="56" spans="1:13" x14ac:dyDescent="0.3">
      <c r="A56" s="24">
        <v>45946</v>
      </c>
      <c r="B56" s="25" t="s">
        <v>228</v>
      </c>
      <c r="C56" s="11" t="s">
        <v>10</v>
      </c>
      <c r="D56" s="17" t="s">
        <v>65</v>
      </c>
      <c r="E56" s="12" t="s">
        <v>11</v>
      </c>
      <c r="F56" s="13">
        <v>1077203306</v>
      </c>
      <c r="G56" s="14">
        <v>4501714061</v>
      </c>
      <c r="H56" s="15">
        <f>IF(Table1[[#This Row],[PEDIDO]]&lt;&gt;"",_xlfn.XLOOKUP(Table1[[#This Row],[PEDIDO]],'[1]BASE DE VIM''s-NF''s'!I:I,'[1]BASE DE VIM''s-NF''s'!F:F,"-"),"-")</f>
        <v>2935640</v>
      </c>
      <c r="I56" s="16" t="str">
        <f>_xlfn.XLOOKUP(Table1[[#This Row],[VIM]],'[1]BASE DE VIM''s-NF''s'!F:F,'[1]BASE DE VIM''s-NF''s'!A:A,"")</f>
        <v>Lançado</v>
      </c>
      <c r="J56" s="15" t="str">
        <f>_xlfn.XLOOKUP(Table1[[#This Row],[VIM]],'[1]BASE DE VIM''s-NF''s'!F:F,'[1]BASE DE VIM''s-NF''s'!L:L,"")</f>
        <v>000127753-1</v>
      </c>
      <c r="K56" s="15" t="str">
        <f>_xlfn.XLOOKUP(Table1[[#This Row],[VIM]],'[1]BASE DE VIM''s-NF''s'!F:F,'[1]BASE DE VIM''s-NF''s'!G:G,"")</f>
        <v>TIAGO DE BROI EIRELI EPP.</v>
      </c>
      <c r="L56" s="15" t="str">
        <f>_xlfn.XLOOKUP(Table1[[#This Row],[PEDIDO]],'[1]BASE DE VIM''s-NF''s'!I:I,'[1]BASE DE VIM''s-NF''s'!R:R,"")</f>
        <v>1,164.46</v>
      </c>
      <c r="M56" s="14" t="s">
        <v>12</v>
      </c>
    </row>
    <row r="57" spans="1:13" ht="27.6" x14ac:dyDescent="0.3">
      <c r="A57" s="24">
        <v>45952</v>
      </c>
      <c r="B57" s="25" t="s">
        <v>227</v>
      </c>
      <c r="C57" s="11" t="s">
        <v>10</v>
      </c>
      <c r="D57" s="17" t="s">
        <v>66</v>
      </c>
      <c r="E57" s="12" t="s">
        <v>11</v>
      </c>
      <c r="F57" s="13">
        <v>1077203307</v>
      </c>
      <c r="G57" s="14">
        <v>4501714070</v>
      </c>
      <c r="H57" s="15">
        <f>IF(Table1[[#This Row],[PEDIDO]]&lt;&gt;"",_xlfn.XLOOKUP(Table1[[#This Row],[PEDIDO]],'[1]BASE DE VIM''s-NF''s'!I:I,'[1]BASE DE VIM''s-NF''s'!F:F,"-"),"-")</f>
        <v>2935557</v>
      </c>
      <c r="I57" s="16" t="str">
        <f>_xlfn.XLOOKUP(Table1[[#This Row],[VIM]],'[1]BASE DE VIM''s-NF''s'!F:F,'[1]BASE DE VIM''s-NF''s'!A:A,"")</f>
        <v>Lançado</v>
      </c>
      <c r="J57" s="15" t="str">
        <f>_xlfn.XLOOKUP(Table1[[#This Row],[VIM]],'[1]BASE DE VIM''s-NF''s'!F:F,'[1]BASE DE VIM''s-NF''s'!L:L,"")</f>
        <v>000127738-1</v>
      </c>
      <c r="K57" s="15" t="str">
        <f>_xlfn.XLOOKUP(Table1[[#This Row],[VIM]],'[1]BASE DE VIM''s-NF''s'!F:F,'[1]BASE DE VIM''s-NF''s'!G:G,"")</f>
        <v>TIAGO DE BROI EIRELI EPP.</v>
      </c>
      <c r="L57" s="15" t="str">
        <f>_xlfn.XLOOKUP(Table1[[#This Row],[PEDIDO]],'[1]BASE DE VIM''s-NF''s'!I:I,'[1]BASE DE VIM''s-NF''s'!R:R,"")</f>
        <v>125.00</v>
      </c>
      <c r="M57" s="14" t="s">
        <v>12</v>
      </c>
    </row>
    <row r="58" spans="1:13" x14ac:dyDescent="0.3">
      <c r="A58" s="24">
        <v>45952</v>
      </c>
      <c r="B58" s="25" t="s">
        <v>229</v>
      </c>
      <c r="C58" s="11" t="s">
        <v>10</v>
      </c>
      <c r="D58" s="17" t="s">
        <v>67</v>
      </c>
      <c r="E58" s="12" t="s">
        <v>11</v>
      </c>
      <c r="F58" s="13">
        <v>1077218399</v>
      </c>
      <c r="G58" s="14">
        <v>4501714079</v>
      </c>
      <c r="H58" s="15">
        <f>IF(Table1[[#This Row],[PEDIDO]]&lt;&gt;"",_xlfn.XLOOKUP(Table1[[#This Row],[PEDIDO]],'[1]BASE DE VIM''s-NF''s'!I:I,'[1]BASE DE VIM''s-NF''s'!F:F,"-"),"-")</f>
        <v>2940449</v>
      </c>
      <c r="I58" s="16" t="str">
        <f>_xlfn.XLOOKUP(Table1[[#This Row],[VIM]],'[1]BASE DE VIM''s-NF''s'!F:F,'[1]BASE DE VIM''s-NF''s'!A:A,"")</f>
        <v>Lançado</v>
      </c>
      <c r="J58" s="15" t="str">
        <f>_xlfn.XLOOKUP(Table1[[#This Row],[VIM]],'[1]BASE DE VIM''s-NF''s'!F:F,'[1]BASE DE VIM''s-NF''s'!L:L,"")</f>
        <v>001492898-3</v>
      </c>
      <c r="K58" s="15" t="str">
        <f>_xlfn.XLOOKUP(Table1[[#This Row],[VIM]],'[1]BASE DE VIM''s-NF''s'!F:F,'[1]BASE DE VIM''s-NF''s'!G:G,"")</f>
        <v>ANHANGUERA COMERCIO DE</v>
      </c>
      <c r="L58" s="15" t="str">
        <f>_xlfn.XLOOKUP(Table1[[#This Row],[PEDIDO]],'[1]BASE DE VIM''s-NF''s'!I:I,'[1]BASE DE VIM''s-NF''s'!R:R,"")</f>
        <v>1,166.87</v>
      </c>
      <c r="M58" s="14" t="s">
        <v>12</v>
      </c>
    </row>
    <row r="59" spans="1:13" x14ac:dyDescent="0.3">
      <c r="A59" s="24">
        <v>45953</v>
      </c>
      <c r="B59" s="25" t="s">
        <v>229</v>
      </c>
      <c r="C59" s="11" t="s">
        <v>10</v>
      </c>
      <c r="D59" s="17" t="s">
        <v>68</v>
      </c>
      <c r="E59" s="12" t="s">
        <v>11</v>
      </c>
      <c r="F59" s="13">
        <v>1077233539</v>
      </c>
      <c r="G59" s="14">
        <v>4501714648</v>
      </c>
      <c r="H59" s="15">
        <f>IF(Table1[[#This Row],[PEDIDO]]&lt;&gt;"",_xlfn.XLOOKUP(Table1[[#This Row],[PEDIDO]],'[1]BASE DE VIM''s-NF''s'!I:I,'[1]BASE DE VIM''s-NF''s'!F:F,"-"),"-")</f>
        <v>2936758</v>
      </c>
      <c r="I59" s="16" t="str">
        <f>_xlfn.XLOOKUP(Table1[[#This Row],[VIM]],'[1]BASE DE VIM''s-NF''s'!F:F,'[1]BASE DE VIM''s-NF''s'!A:A,"")</f>
        <v>Lançado</v>
      </c>
      <c r="J59" s="15" t="str">
        <f>_xlfn.XLOOKUP(Table1[[#This Row],[VIM]],'[1]BASE DE VIM''s-NF''s'!F:F,'[1]BASE DE VIM''s-NF''s'!L:L,"")</f>
        <v>000127932-1</v>
      </c>
      <c r="K59" s="15" t="str">
        <f>_xlfn.XLOOKUP(Table1[[#This Row],[VIM]],'[1]BASE DE VIM''s-NF''s'!F:F,'[1]BASE DE VIM''s-NF''s'!G:G,"")</f>
        <v>TIAGO DE BROI EIRELI EPP.</v>
      </c>
      <c r="L59" s="15" t="str">
        <f>_xlfn.XLOOKUP(Table1[[#This Row],[PEDIDO]],'[1]BASE DE VIM''s-NF''s'!I:I,'[1]BASE DE VIM''s-NF''s'!R:R,"")</f>
        <v>1,172.31</v>
      </c>
      <c r="M59" s="14" t="s">
        <v>12</v>
      </c>
    </row>
    <row r="60" spans="1:13" x14ac:dyDescent="0.3">
      <c r="A60" s="24">
        <v>45957</v>
      </c>
      <c r="B60" s="25" t="s">
        <v>228</v>
      </c>
      <c r="C60" s="11" t="s">
        <v>10</v>
      </c>
      <c r="D60" s="17" t="s">
        <v>69</v>
      </c>
      <c r="E60" s="12" t="s">
        <v>11</v>
      </c>
      <c r="F60" s="13">
        <v>1077272160</v>
      </c>
      <c r="G60" s="14">
        <v>4501714625</v>
      </c>
      <c r="H60" s="15">
        <f>IF(Table1[[#This Row],[PEDIDO]]&lt;&gt;"",_xlfn.XLOOKUP(Table1[[#This Row],[PEDIDO]],'[1]BASE DE VIM''s-NF''s'!I:I,'[1]BASE DE VIM''s-NF''s'!F:F,"-"),"-")</f>
        <v>2940733</v>
      </c>
      <c r="I60" s="16" t="str">
        <f>_xlfn.XLOOKUP(Table1[[#This Row],[VIM]],'[1]BASE DE VIM''s-NF''s'!F:F,'[1]BASE DE VIM''s-NF''s'!A:A,"")</f>
        <v>Lançado</v>
      </c>
      <c r="J60" s="15" t="str">
        <f>_xlfn.XLOOKUP(Table1[[#This Row],[VIM]],'[1]BASE DE VIM''s-NF''s'!F:F,'[1]BASE DE VIM''s-NF''s'!L:L,"")</f>
        <v>000055090-1</v>
      </c>
      <c r="K60" s="15" t="str">
        <f>_xlfn.XLOOKUP(Table1[[#This Row],[VIM]],'[1]BASE DE VIM''s-NF''s'!F:F,'[1]BASE DE VIM''s-NF''s'!G:G,"")</f>
        <v>OXIGENIO JUNDIAI COML. DE GASES</v>
      </c>
      <c r="L60" s="15" t="str">
        <f>_xlfn.XLOOKUP(Table1[[#This Row],[PEDIDO]],'[1]BASE DE VIM''s-NF''s'!I:I,'[1]BASE DE VIM''s-NF''s'!R:R,"")</f>
        <v>319.98</v>
      </c>
      <c r="M60" s="14" t="s">
        <v>12</v>
      </c>
    </row>
    <row r="61" spans="1:13" x14ac:dyDescent="0.3">
      <c r="A61" s="24">
        <v>45958</v>
      </c>
      <c r="B61" s="25" t="s">
        <v>228</v>
      </c>
      <c r="C61" s="11" t="s">
        <v>13</v>
      </c>
      <c r="D61" s="17" t="s">
        <v>70</v>
      </c>
      <c r="E61" s="12" t="s">
        <v>11</v>
      </c>
      <c r="F61" s="13">
        <v>1077272808</v>
      </c>
      <c r="G61" s="14">
        <v>4501714633</v>
      </c>
      <c r="H61" s="15">
        <f>IF(Table1[[#This Row],[PEDIDO]]&lt;&gt;"",_xlfn.XLOOKUP(Table1[[#This Row],[PEDIDO]],'[1]BASE DE VIM''s-NF''s'!I:I,'[1]BASE DE VIM''s-NF''s'!F:F,"-"),"-")</f>
        <v>2944145</v>
      </c>
      <c r="I61" s="16" t="str">
        <f>_xlfn.XLOOKUP(Table1[[#This Row],[VIM]],'[1]BASE DE VIM''s-NF''s'!F:F,'[1]BASE DE VIM''s-NF''s'!A:A,"")</f>
        <v>Lançado</v>
      </c>
      <c r="J61" s="15" t="str">
        <f>_xlfn.XLOOKUP(Table1[[#This Row],[VIM]],'[1]BASE DE VIM''s-NF''s'!F:F,'[1]BASE DE VIM''s-NF''s'!L:L,"")</f>
        <v>000000696-9</v>
      </c>
      <c r="K61" s="15" t="str">
        <f>_xlfn.XLOOKUP(Table1[[#This Row],[VIM]],'[1]BASE DE VIM''s-NF''s'!F:F,'[1]BASE DE VIM''s-NF''s'!G:G,"")</f>
        <v>ESTRUTURAS E EQUIPAMENTOS</v>
      </c>
      <c r="L61" s="15" t="str">
        <f>_xlfn.XLOOKUP(Table1[[#This Row],[PEDIDO]],'[1]BASE DE VIM''s-NF''s'!I:I,'[1]BASE DE VIM''s-NF''s'!R:R,"")</f>
        <v>1,849.99</v>
      </c>
      <c r="M61" s="14" t="s">
        <v>12</v>
      </c>
    </row>
    <row r="62" spans="1:13" x14ac:dyDescent="0.3">
      <c r="A62" s="24">
        <v>45960</v>
      </c>
      <c r="B62" s="25" t="s">
        <v>228</v>
      </c>
      <c r="C62" s="11" t="s">
        <v>10</v>
      </c>
      <c r="D62" s="17" t="s">
        <v>71</v>
      </c>
      <c r="E62" s="12" t="s">
        <v>11</v>
      </c>
      <c r="F62" s="13">
        <v>1077301335</v>
      </c>
      <c r="G62" s="14">
        <v>4501715242</v>
      </c>
      <c r="H62" s="15">
        <f>IF(Table1[[#This Row],[PEDIDO]]&lt;&gt;"",_xlfn.XLOOKUP(Table1[[#This Row],[PEDIDO]],'[1]BASE DE VIM''s-NF''s'!I:I,'[1]BASE DE VIM''s-NF''s'!F:F,"-"),"-")</f>
        <v>2940137</v>
      </c>
      <c r="I62" s="16" t="str">
        <f>_xlfn.XLOOKUP(Table1[[#This Row],[VIM]],'[1]BASE DE VIM''s-NF''s'!F:F,'[1]BASE DE VIM''s-NF''s'!A:A,"")</f>
        <v>Lançado</v>
      </c>
      <c r="J62" s="15" t="str">
        <f>_xlfn.XLOOKUP(Table1[[#This Row],[VIM]],'[1]BASE DE VIM''s-NF''s'!F:F,'[1]BASE DE VIM''s-NF''s'!L:L,"")</f>
        <v>000168614-1</v>
      </c>
      <c r="K62" s="15" t="str">
        <f>_xlfn.XLOOKUP(Table1[[#This Row],[VIM]],'[1]BASE DE VIM''s-NF''s'!F:F,'[1]BASE DE VIM''s-NF''s'!G:G,"")</f>
        <v>KEYENCE BRASIL COMERCIO DE PRODUTOS</v>
      </c>
      <c r="L62" s="15" t="str">
        <f>_xlfn.XLOOKUP(Table1[[#This Row],[PEDIDO]],'[1]BASE DE VIM''s-NF''s'!I:I,'[1]BASE DE VIM''s-NF''s'!R:R,"")</f>
        <v>8,816.49</v>
      </c>
      <c r="M62" s="14" t="s">
        <v>12</v>
      </c>
    </row>
    <row r="63" spans="1:13" x14ac:dyDescent="0.3">
      <c r="A63" s="24">
        <v>45961</v>
      </c>
      <c r="B63" s="25" t="s">
        <v>228</v>
      </c>
      <c r="C63" s="11" t="s">
        <v>10</v>
      </c>
      <c r="D63" s="17" t="s">
        <v>72</v>
      </c>
      <c r="E63" s="12" t="s">
        <v>11</v>
      </c>
      <c r="F63" s="13">
        <v>1077301980</v>
      </c>
      <c r="G63" s="14">
        <v>4501716228</v>
      </c>
      <c r="H63" s="15">
        <f>IF(Table1[[#This Row],[PEDIDO]]&lt;&gt;"",_xlfn.XLOOKUP(Table1[[#This Row],[PEDIDO]],'[1]BASE DE VIM''s-NF''s'!I:I,'[1]BASE DE VIM''s-NF''s'!F:F,"-"),"-")</f>
        <v>2947434</v>
      </c>
      <c r="I63" s="16" t="str">
        <f>_xlfn.XLOOKUP(Table1[[#This Row],[VIM]],'[1]BASE DE VIM''s-NF''s'!F:F,'[1]BASE DE VIM''s-NF''s'!A:A,"")</f>
        <v>Lançado</v>
      </c>
      <c r="J63" s="15" t="str">
        <f>_xlfn.XLOOKUP(Table1[[#This Row],[VIM]],'[1]BASE DE VIM''s-NF''s'!F:F,'[1]BASE DE VIM''s-NF''s'!L:L,"")</f>
        <v>000000899-1</v>
      </c>
      <c r="K63" s="15" t="str">
        <f>_xlfn.XLOOKUP(Table1[[#This Row],[VIM]],'[1]BASE DE VIM''s-NF''s'!F:F,'[1]BASE DE VIM''s-NF''s'!G:G,"")</f>
        <v>J ASSIS COMERCIO E</v>
      </c>
      <c r="L63" s="15" t="str">
        <f>_xlfn.XLOOKUP(Table1[[#This Row],[PEDIDO]],'[1]BASE DE VIM''s-NF''s'!I:I,'[1]BASE DE VIM''s-NF''s'!R:R,"")</f>
        <v>1,809.00</v>
      </c>
      <c r="M63" s="14" t="s">
        <v>12</v>
      </c>
    </row>
    <row r="64" spans="1:13" x14ac:dyDescent="0.3">
      <c r="A64" s="24">
        <v>45966</v>
      </c>
      <c r="B64" s="25" t="s">
        <v>228</v>
      </c>
      <c r="C64" s="11" t="s">
        <v>10</v>
      </c>
      <c r="D64" s="17" t="s">
        <v>73</v>
      </c>
      <c r="E64" s="12" t="s">
        <v>11</v>
      </c>
      <c r="F64" s="13">
        <v>1077338975</v>
      </c>
      <c r="G64" s="14">
        <v>4501715748</v>
      </c>
      <c r="H64" s="15">
        <f>IF(Table1[[#This Row],[PEDIDO]]&lt;&gt;"",_xlfn.XLOOKUP(Table1[[#This Row],[PEDIDO]],'[1]BASE DE VIM''s-NF''s'!I:I,'[1]BASE DE VIM''s-NF''s'!F:F,"-"),"-")</f>
        <v>2946223</v>
      </c>
      <c r="I64" s="16" t="str">
        <f>_xlfn.XLOOKUP(Table1[[#This Row],[VIM]],'[1]BASE DE VIM''s-NF''s'!F:F,'[1]BASE DE VIM''s-NF''s'!A:A,"")</f>
        <v>Lançado</v>
      </c>
      <c r="J64" s="15" t="str">
        <f>_xlfn.XLOOKUP(Table1[[#This Row],[VIM]],'[1]BASE DE VIM''s-NF''s'!F:F,'[1]BASE DE VIM''s-NF''s'!L:L,"")</f>
        <v>000001288-1</v>
      </c>
      <c r="K64" s="15" t="str">
        <f>_xlfn.XLOOKUP(Table1[[#This Row],[VIM]],'[1]BASE DE VIM''s-NF''s'!F:F,'[1]BASE DE VIM''s-NF''s'!G:G,"")</f>
        <v>ESTRUTURAS E EQUIPAMENTOS</v>
      </c>
      <c r="L64" s="15" t="str">
        <f>_xlfn.XLOOKUP(Table1[[#This Row],[PEDIDO]],'[1]BASE DE VIM''s-NF''s'!I:I,'[1]BASE DE VIM''s-NF''s'!R:R,"")</f>
        <v>5,750.00</v>
      </c>
      <c r="M64" s="14" t="s">
        <v>12</v>
      </c>
    </row>
    <row r="65" spans="1:13" ht="27.6" x14ac:dyDescent="0.3">
      <c r="A65" s="24">
        <v>45966</v>
      </c>
      <c r="B65" s="25" t="s">
        <v>228</v>
      </c>
      <c r="C65" s="11" t="s">
        <v>10</v>
      </c>
      <c r="D65" s="17" t="s">
        <v>74</v>
      </c>
      <c r="E65" s="12" t="s">
        <v>11</v>
      </c>
      <c r="F65" s="13">
        <v>1077373171</v>
      </c>
      <c r="G65" s="14">
        <v>4501715753</v>
      </c>
      <c r="H65" s="15">
        <f>IF(Table1[[#This Row],[PEDIDO]]&lt;&gt;"",_xlfn.XLOOKUP(Table1[[#This Row],[PEDIDO]],'[1]BASE DE VIM''s-NF''s'!I:I,'[1]BASE DE VIM''s-NF''s'!F:F,"-"),"-")</f>
        <v>2938779</v>
      </c>
      <c r="I65" s="16" t="str">
        <f>_xlfn.XLOOKUP(Table1[[#This Row],[VIM]],'[1]BASE DE VIM''s-NF''s'!F:F,'[1]BASE DE VIM''s-NF''s'!A:A,"")</f>
        <v>Lançado</v>
      </c>
      <c r="J65" s="15" t="str">
        <f>_xlfn.XLOOKUP(Table1[[#This Row],[VIM]],'[1]BASE DE VIM''s-NF''s'!F:F,'[1]BASE DE VIM''s-NF''s'!L:L,"")</f>
        <v>000128284-1</v>
      </c>
      <c r="K65" s="15" t="str">
        <f>_xlfn.XLOOKUP(Table1[[#This Row],[VIM]],'[1]BASE DE VIM''s-NF''s'!F:F,'[1]BASE DE VIM''s-NF''s'!G:G,"")</f>
        <v>TIAGO DE BROI EIRELI EPP.</v>
      </c>
      <c r="L65" s="15" t="str">
        <f>_xlfn.XLOOKUP(Table1[[#This Row],[PEDIDO]],'[1]BASE DE VIM''s-NF''s'!I:I,'[1]BASE DE VIM''s-NF''s'!R:R,"")</f>
        <v>1,100.48</v>
      </c>
      <c r="M65" s="14" t="s">
        <v>12</v>
      </c>
    </row>
    <row r="66" spans="1:13" x14ac:dyDescent="0.3">
      <c r="A66" s="24">
        <v>45966</v>
      </c>
      <c r="B66" s="25" t="s">
        <v>228</v>
      </c>
      <c r="C66" s="11" t="s">
        <v>10</v>
      </c>
      <c r="D66" s="17" t="s">
        <v>75</v>
      </c>
      <c r="E66" s="12" t="s">
        <v>11</v>
      </c>
      <c r="F66" s="13">
        <v>1077373672</v>
      </c>
      <c r="G66" s="14">
        <v>4501715846</v>
      </c>
      <c r="H66" s="15">
        <f>IF(Table1[[#This Row],[PEDIDO]]&lt;&gt;"",_xlfn.XLOOKUP(Table1[[#This Row],[PEDIDO]],'[1]BASE DE VIM''s-NF''s'!I:I,'[1]BASE DE VIM''s-NF''s'!F:F,"-"),"-")</f>
        <v>2940180</v>
      </c>
      <c r="I66" s="16" t="str">
        <f>_xlfn.XLOOKUP(Table1[[#This Row],[VIM]],'[1]BASE DE VIM''s-NF''s'!F:F,'[1]BASE DE VIM''s-NF''s'!A:A,"")</f>
        <v>Lançado</v>
      </c>
      <c r="J66" s="15" t="str">
        <f>_xlfn.XLOOKUP(Table1[[#This Row],[VIM]],'[1]BASE DE VIM''s-NF''s'!F:F,'[1]BASE DE VIM''s-NF''s'!L:L,"")</f>
        <v>000128572-1</v>
      </c>
      <c r="K66" s="15" t="str">
        <f>_xlfn.XLOOKUP(Table1[[#This Row],[VIM]],'[1]BASE DE VIM''s-NF''s'!F:F,'[1]BASE DE VIM''s-NF''s'!G:G,"")</f>
        <v>TIAGO DE BROI EIRELI EPP.</v>
      </c>
      <c r="L66" s="15" t="str">
        <f>_xlfn.XLOOKUP(Table1[[#This Row],[PEDIDO]],'[1]BASE DE VIM''s-NF''s'!I:I,'[1]BASE DE VIM''s-NF''s'!R:R,"")</f>
        <v>876.80</v>
      </c>
      <c r="M66" s="14" t="s">
        <v>12</v>
      </c>
    </row>
    <row r="67" spans="1:13" ht="27.6" x14ac:dyDescent="0.3">
      <c r="A67" s="24">
        <v>45966</v>
      </c>
      <c r="B67" s="25" t="s">
        <v>228</v>
      </c>
      <c r="C67" s="11" t="s">
        <v>10</v>
      </c>
      <c r="D67" s="17" t="s">
        <v>76</v>
      </c>
      <c r="E67" s="12" t="s">
        <v>11</v>
      </c>
      <c r="F67" s="13">
        <v>1077373882</v>
      </c>
      <c r="G67" s="14">
        <v>4501716201</v>
      </c>
      <c r="H67" s="15">
        <f>IF(Table1[[#This Row],[PEDIDO]]&lt;&gt;"",_xlfn.XLOOKUP(Table1[[#This Row],[PEDIDO]],'[1]BASE DE VIM''s-NF''s'!I:I,'[1]BASE DE VIM''s-NF''s'!F:F,"-"),"-")</f>
        <v>2947275</v>
      </c>
      <c r="I67" s="16" t="str">
        <f>_xlfn.XLOOKUP(Table1[[#This Row],[VIM]],'[1]BASE DE VIM''s-NF''s'!F:F,'[1]BASE DE VIM''s-NF''s'!A:A,"")</f>
        <v>Lançado</v>
      </c>
      <c r="J67" s="15" t="str">
        <f>_xlfn.XLOOKUP(Table1[[#This Row],[VIM]],'[1]BASE DE VIM''s-NF''s'!F:F,'[1]BASE DE VIM''s-NF''s'!L:L,"")</f>
        <v>000129921-1</v>
      </c>
      <c r="K67" s="15" t="str">
        <f>_xlfn.XLOOKUP(Table1[[#This Row],[VIM]],'[1]BASE DE VIM''s-NF''s'!F:F,'[1]BASE DE VIM''s-NF''s'!G:G,"")</f>
        <v>TIAGO DE BROI EIRELI EPP.</v>
      </c>
      <c r="L67" s="15" t="str">
        <f>_xlfn.XLOOKUP(Table1[[#This Row],[PEDIDO]],'[1]BASE DE VIM''s-NF''s'!I:I,'[1]BASE DE VIM''s-NF''s'!R:R,"")</f>
        <v>4,921.44</v>
      </c>
      <c r="M67" s="14" t="s">
        <v>12</v>
      </c>
    </row>
    <row r="68" spans="1:13" x14ac:dyDescent="0.3">
      <c r="A68" s="24">
        <v>45966</v>
      </c>
      <c r="B68" s="25" t="s">
        <v>228</v>
      </c>
      <c r="C68" s="11" t="s">
        <v>10</v>
      </c>
      <c r="D68" s="17" t="s">
        <v>77</v>
      </c>
      <c r="E68" s="12" t="s">
        <v>11</v>
      </c>
      <c r="F68" s="13">
        <v>1077373864</v>
      </c>
      <c r="G68" s="14">
        <v>4501715890</v>
      </c>
      <c r="H68" s="15">
        <f>IF(Table1[[#This Row],[PEDIDO]]&lt;&gt;"",_xlfn.XLOOKUP(Table1[[#This Row],[PEDIDO]],'[1]BASE DE VIM''s-NF''s'!I:I,'[1]BASE DE VIM''s-NF''s'!F:F,"-"),"-")</f>
        <v>2956795</v>
      </c>
      <c r="I68" s="16" t="str">
        <f>_xlfn.XLOOKUP(Table1[[#This Row],[VIM]],'[1]BASE DE VIM''s-NF''s'!F:F,'[1]BASE DE VIM''s-NF''s'!A:A,"")</f>
        <v>Lançado</v>
      </c>
      <c r="J68" s="15" t="str">
        <f>_xlfn.XLOOKUP(Table1[[#This Row],[VIM]],'[1]BASE DE VIM''s-NF''s'!F:F,'[1]BASE DE VIM''s-NF''s'!L:L,"")</f>
        <v>000131240-1</v>
      </c>
      <c r="K68" s="15" t="str">
        <f>_xlfn.XLOOKUP(Table1[[#This Row],[VIM]],'[1]BASE DE VIM''s-NF''s'!F:F,'[1]BASE DE VIM''s-NF''s'!G:G,"")</f>
        <v>TIAGO DE BROI EIRELI EPP.</v>
      </c>
      <c r="L68" s="15" t="str">
        <f>_xlfn.XLOOKUP(Table1[[#This Row],[PEDIDO]],'[1]BASE DE VIM''s-NF''s'!I:I,'[1]BASE DE VIM''s-NF''s'!R:R,"")</f>
        <v>2,713.00</v>
      </c>
      <c r="M68" s="14" t="s">
        <v>12</v>
      </c>
    </row>
    <row r="69" spans="1:13" x14ac:dyDescent="0.3">
      <c r="A69" s="24">
        <v>45971</v>
      </c>
      <c r="B69" s="25" t="s">
        <v>228</v>
      </c>
      <c r="C69" s="11" t="s">
        <v>10</v>
      </c>
      <c r="D69" s="17" t="s">
        <v>78</v>
      </c>
      <c r="E69" s="12" t="s">
        <v>11</v>
      </c>
      <c r="F69" s="13">
        <v>1077427113</v>
      </c>
      <c r="G69" s="14">
        <v>4501716309</v>
      </c>
      <c r="H69" s="15">
        <f>IF(Table1[[#This Row],[PEDIDO]]&lt;&gt;"",_xlfn.XLOOKUP(Table1[[#This Row],[PEDIDO]],'[1]BASE DE VIM''s-NF''s'!I:I,'[1]BASE DE VIM''s-NF''s'!F:F,"-"),"-")</f>
        <v>2942074</v>
      </c>
      <c r="I69" s="16" t="str">
        <f>_xlfn.XLOOKUP(Table1[[#This Row],[VIM]],'[1]BASE DE VIM''s-NF''s'!F:F,'[1]BASE DE VIM''s-NF''s'!A:A,"")</f>
        <v>Lançado</v>
      </c>
      <c r="J69" s="15" t="str">
        <f>_xlfn.XLOOKUP(Table1[[#This Row],[VIM]],'[1]BASE DE VIM''s-NF''s'!F:F,'[1]BASE DE VIM''s-NF''s'!L:L,"")</f>
        <v>000128933-1</v>
      </c>
      <c r="K69" s="15" t="str">
        <f>_xlfn.XLOOKUP(Table1[[#This Row],[VIM]],'[1]BASE DE VIM''s-NF''s'!F:F,'[1]BASE DE VIM''s-NF''s'!G:G,"")</f>
        <v>TIAGO DE BROI EIRELI EPP.</v>
      </c>
      <c r="L69" s="15" t="str">
        <f>_xlfn.XLOOKUP(Table1[[#This Row],[PEDIDO]],'[1]BASE DE VIM''s-NF''s'!I:I,'[1]BASE DE VIM''s-NF''s'!R:R,"")</f>
        <v>425.12</v>
      </c>
      <c r="M69" s="14" t="s">
        <v>12</v>
      </c>
    </row>
    <row r="70" spans="1:13" x14ac:dyDescent="0.3">
      <c r="A70" s="24">
        <v>45971</v>
      </c>
      <c r="B70" s="25" t="s">
        <v>228</v>
      </c>
      <c r="C70" s="11" t="s">
        <v>10</v>
      </c>
      <c r="D70" s="17" t="s">
        <v>79</v>
      </c>
      <c r="E70" s="12" t="s">
        <v>11</v>
      </c>
      <c r="F70" s="13">
        <v>1077453810</v>
      </c>
      <c r="G70" s="14">
        <v>4501716728</v>
      </c>
      <c r="H70" s="15">
        <f>IF(Table1[[#This Row],[PEDIDO]]&lt;&gt;"",_xlfn.XLOOKUP(Table1[[#This Row],[PEDIDO]],'[1]BASE DE VIM''s-NF''s'!I:I,'[1]BASE DE VIM''s-NF''s'!F:F,"-"),"-")</f>
        <v>2945843</v>
      </c>
      <c r="I70" s="16" t="str">
        <f>_xlfn.XLOOKUP(Table1[[#This Row],[VIM]],'[1]BASE DE VIM''s-NF''s'!F:F,'[1]BASE DE VIM''s-NF''s'!A:A,"")</f>
        <v>Lançado</v>
      </c>
      <c r="J70" s="15" t="str">
        <f>_xlfn.XLOOKUP(Table1[[#This Row],[VIM]],'[1]BASE DE VIM''s-NF''s'!F:F,'[1]BASE DE VIM''s-NF''s'!L:L,"")</f>
        <v>000007257-1</v>
      </c>
      <c r="K70" s="15" t="str">
        <f>_xlfn.XLOOKUP(Table1[[#This Row],[VIM]],'[1]BASE DE VIM''s-NF''s'!F:F,'[1]BASE DE VIM''s-NF''s'!G:G,"")</f>
        <v>ROVAMEC USINAGEM LTDA. EPP.</v>
      </c>
      <c r="L70" s="15" t="str">
        <f>_xlfn.XLOOKUP(Table1[[#This Row],[PEDIDO]],'[1]BASE DE VIM''s-NF''s'!I:I,'[1]BASE DE VIM''s-NF''s'!R:R,"")</f>
        <v>10,560.00</v>
      </c>
      <c r="M70" s="14" t="s">
        <v>12</v>
      </c>
    </row>
    <row r="71" spans="1:13" x14ac:dyDescent="0.3">
      <c r="A71" s="24">
        <v>45974</v>
      </c>
      <c r="B71" s="25" t="s">
        <v>227</v>
      </c>
      <c r="C71" s="11" t="s">
        <v>10</v>
      </c>
      <c r="D71" s="17" t="s">
        <v>80</v>
      </c>
      <c r="E71" s="12" t="s">
        <v>11</v>
      </c>
      <c r="F71" s="13">
        <v>1077464197</v>
      </c>
      <c r="G71" s="14">
        <v>4501716780</v>
      </c>
      <c r="H71" s="15">
        <f>IF(Table1[[#This Row],[PEDIDO]]&lt;&gt;"",_xlfn.XLOOKUP(Table1[[#This Row],[PEDIDO]],'[1]BASE DE VIM''s-NF''s'!I:I,'[1]BASE DE VIM''s-NF''s'!F:F,"-"),"-")</f>
        <v>2954081</v>
      </c>
      <c r="I71" s="16" t="str">
        <f>_xlfn.XLOOKUP(Table1[[#This Row],[VIM]],'[1]BASE DE VIM''s-NF''s'!F:F,'[1]BASE DE VIM''s-NF''s'!A:A,"")</f>
        <v>Lançado</v>
      </c>
      <c r="J71" s="15" t="str">
        <f>_xlfn.XLOOKUP(Table1[[#This Row],[VIM]],'[1]BASE DE VIM''s-NF''s'!F:F,'[1]BASE DE VIM''s-NF''s'!L:L,"")</f>
        <v>000033526-1</v>
      </c>
      <c r="K71" s="15" t="str">
        <f>_xlfn.XLOOKUP(Table1[[#This Row],[VIM]],'[1]BASE DE VIM''s-NF''s'!F:F,'[1]BASE DE VIM''s-NF''s'!G:G,"")</f>
        <v>TECNOCRIMPER INDUSTRIA E</v>
      </c>
      <c r="L71" s="15" t="str">
        <f>_xlfn.XLOOKUP(Table1[[#This Row],[PEDIDO]],'[1]BASE DE VIM''s-NF''s'!I:I,'[1]BASE DE VIM''s-NF''s'!R:R,"")</f>
        <v>2,276.19</v>
      </c>
      <c r="M71" s="14" t="s">
        <v>12</v>
      </c>
    </row>
    <row r="72" spans="1:13" x14ac:dyDescent="0.3">
      <c r="A72" s="24">
        <v>45975</v>
      </c>
      <c r="B72" s="25" t="s">
        <v>227</v>
      </c>
      <c r="C72" s="11" t="s">
        <v>10</v>
      </c>
      <c r="D72" s="17" t="s">
        <v>81</v>
      </c>
      <c r="E72" s="12" t="s">
        <v>11</v>
      </c>
      <c r="F72" s="13">
        <v>1077478308</v>
      </c>
      <c r="G72" s="14">
        <v>4501716901</v>
      </c>
      <c r="H72" s="15">
        <f>IF(Table1[[#This Row],[PEDIDO]]&lt;&gt;"",_xlfn.XLOOKUP(Table1[[#This Row],[PEDIDO]],'[1]BASE DE VIM''s-NF''s'!I:I,'[1]BASE DE VIM''s-NF''s'!F:F,"-"),"-")</f>
        <v>2943611</v>
      </c>
      <c r="I72" s="16" t="str">
        <f>_xlfn.XLOOKUP(Table1[[#This Row],[VIM]],'[1]BASE DE VIM''s-NF''s'!F:F,'[1]BASE DE VIM''s-NF''s'!A:A,"")</f>
        <v>Lançado</v>
      </c>
      <c r="J72" s="15" t="str">
        <f>_xlfn.XLOOKUP(Table1[[#This Row],[VIM]],'[1]BASE DE VIM''s-NF''s'!F:F,'[1]BASE DE VIM''s-NF''s'!L:L,"")</f>
        <v>001497676-3</v>
      </c>
      <c r="K72" s="15" t="str">
        <f>_xlfn.XLOOKUP(Table1[[#This Row],[VIM]],'[1]BASE DE VIM''s-NF''s'!F:F,'[1]BASE DE VIM''s-NF''s'!G:G,"")</f>
        <v>ANHANGUERA COMERCIO DE</v>
      </c>
      <c r="L72" s="15" t="str">
        <f>_xlfn.XLOOKUP(Table1[[#This Row],[PEDIDO]],'[1]BASE DE VIM''s-NF''s'!I:I,'[1]BASE DE VIM''s-NF''s'!R:R,"")</f>
        <v>11,505.87</v>
      </c>
      <c r="M72" s="14" t="s">
        <v>12</v>
      </c>
    </row>
    <row r="73" spans="1:13" x14ac:dyDescent="0.3">
      <c r="A73" s="24">
        <v>45975</v>
      </c>
      <c r="B73" s="25" t="s">
        <v>227</v>
      </c>
      <c r="C73" s="11" t="s">
        <v>10</v>
      </c>
      <c r="D73" s="17" t="s">
        <v>82</v>
      </c>
      <c r="E73" s="12" t="s">
        <v>11</v>
      </c>
      <c r="F73" s="13">
        <v>1077478309</v>
      </c>
      <c r="G73" s="14">
        <v>4501716905</v>
      </c>
      <c r="H73" s="15">
        <f>IF(Table1[[#This Row],[PEDIDO]]&lt;&gt;"",_xlfn.XLOOKUP(Table1[[#This Row],[PEDIDO]],'[1]BASE DE VIM''s-NF''s'!I:I,'[1]BASE DE VIM''s-NF''s'!F:F,"-"),"-")</f>
        <v>2945590</v>
      </c>
      <c r="I73" s="16" t="str">
        <f>_xlfn.XLOOKUP(Table1[[#This Row],[VIM]],'[1]BASE DE VIM''s-NF''s'!F:F,'[1]BASE DE VIM''s-NF''s'!A:A,"")</f>
        <v>Lançado</v>
      </c>
      <c r="J73" s="15" t="str">
        <f>_xlfn.XLOOKUP(Table1[[#This Row],[VIM]],'[1]BASE DE VIM''s-NF''s'!F:F,'[1]BASE DE VIM''s-NF''s'!L:L,"")</f>
        <v>000129591-1</v>
      </c>
      <c r="K73" s="15" t="str">
        <f>_xlfn.XLOOKUP(Table1[[#This Row],[VIM]],'[1]BASE DE VIM''s-NF''s'!F:F,'[1]BASE DE VIM''s-NF''s'!G:G,"")</f>
        <v>TIAGO DE BROI EIRELI EPP.</v>
      </c>
      <c r="L73" s="15" t="str">
        <f>_xlfn.XLOOKUP(Table1[[#This Row],[PEDIDO]],'[1]BASE DE VIM''s-NF''s'!I:I,'[1]BASE DE VIM''s-NF''s'!R:R,"")</f>
        <v>2,464.60</v>
      </c>
      <c r="M73" s="14" t="s">
        <v>12</v>
      </c>
    </row>
    <row r="74" spans="1:13" x14ac:dyDescent="0.3">
      <c r="A74" s="24">
        <v>45978</v>
      </c>
      <c r="B74" s="25" t="s">
        <v>228</v>
      </c>
      <c r="C74" s="11" t="s">
        <v>10</v>
      </c>
      <c r="D74" s="17" t="s">
        <v>83</v>
      </c>
      <c r="E74" s="12" t="s">
        <v>11</v>
      </c>
      <c r="F74" s="13">
        <v>1077494249</v>
      </c>
      <c r="G74" s="14">
        <v>4501717146</v>
      </c>
      <c r="H74" s="15">
        <f>IF(Table1[[#This Row],[PEDIDO]]&lt;&gt;"",_xlfn.XLOOKUP(Table1[[#This Row],[PEDIDO]],'[1]BASE DE VIM''s-NF''s'!I:I,'[1]BASE DE VIM''s-NF''s'!F:F,"-"),"-")</f>
        <v>2962828</v>
      </c>
      <c r="I74" s="16" t="str">
        <f>_xlfn.XLOOKUP(Table1[[#This Row],[VIM]],'[1]BASE DE VIM''s-NF''s'!F:F,'[1]BASE DE VIM''s-NF''s'!A:A,"")</f>
        <v>Lançado</v>
      </c>
      <c r="J74" s="15" t="str">
        <f>_xlfn.XLOOKUP(Table1[[#This Row],[VIM]],'[1]BASE DE VIM''s-NF''s'!F:F,'[1]BASE DE VIM''s-NF''s'!L:L,"")</f>
        <v>000126401-1</v>
      </c>
      <c r="K74" s="15" t="str">
        <f>_xlfn.XLOOKUP(Table1[[#This Row],[VIM]],'[1]BASE DE VIM''s-NF''s'!F:F,'[1]BASE DE VIM''s-NF''s'!G:G,"")</f>
        <v>ALBERFLEX INDUSTRIA DE MOVEIS LTDA.</v>
      </c>
      <c r="L74" s="15" t="str">
        <f>_xlfn.XLOOKUP(Table1[[#This Row],[PEDIDO]],'[1]BASE DE VIM''s-NF''s'!I:I,'[1]BASE DE VIM''s-NF''s'!R:R,"")</f>
        <v>7,011.10</v>
      </c>
      <c r="M74" s="14" t="s">
        <v>12</v>
      </c>
    </row>
    <row r="75" spans="1:13" x14ac:dyDescent="0.3">
      <c r="A75" s="24">
        <v>45978</v>
      </c>
      <c r="B75" s="25" t="s">
        <v>228</v>
      </c>
      <c r="C75" s="11" t="s">
        <v>10</v>
      </c>
      <c r="D75" s="17" t="s">
        <v>84</v>
      </c>
      <c r="E75" s="12" t="s">
        <v>11</v>
      </c>
      <c r="F75" s="13">
        <v>1077494250</v>
      </c>
      <c r="G75" s="14">
        <v>4501717156</v>
      </c>
      <c r="H75" s="15">
        <f>IF(Table1[[#This Row],[PEDIDO]]&lt;&gt;"",_xlfn.XLOOKUP(Table1[[#This Row],[PEDIDO]],'[1]BASE DE VIM''s-NF''s'!I:I,'[1]BASE DE VIM''s-NF''s'!F:F,"-"),"-")</f>
        <v>2954237</v>
      </c>
      <c r="I75" s="16" t="str">
        <f>_xlfn.XLOOKUP(Table1[[#This Row],[VIM]],'[1]BASE DE VIM''s-NF''s'!F:F,'[1]BASE DE VIM''s-NF''s'!A:A,"")</f>
        <v>Lançado</v>
      </c>
      <c r="J75" s="15" t="str">
        <f>_xlfn.XLOOKUP(Table1[[#This Row],[VIM]],'[1]BASE DE VIM''s-NF''s'!F:F,'[1]BASE DE VIM''s-NF''s'!L:L,"")</f>
        <v>000002502-1</v>
      </c>
      <c r="K75" s="15" t="str">
        <f>_xlfn.XLOOKUP(Table1[[#This Row],[VIM]],'[1]BASE DE VIM''s-NF''s'!F:F,'[1]BASE DE VIM''s-NF''s'!G:G,"")</f>
        <v>VERA A. BIANCHINI AFONSO ADESIVOS -</v>
      </c>
      <c r="L75" s="15" t="str">
        <f>_xlfn.XLOOKUP(Table1[[#This Row],[PEDIDO]],'[1]BASE DE VIM''s-NF''s'!I:I,'[1]BASE DE VIM''s-NF''s'!R:R,"")</f>
        <v>440.00</v>
      </c>
      <c r="M75" s="14" t="s">
        <v>12</v>
      </c>
    </row>
    <row r="76" spans="1:13" x14ac:dyDescent="0.3">
      <c r="A76" s="24">
        <v>45979</v>
      </c>
      <c r="B76" s="25" t="s">
        <v>228</v>
      </c>
      <c r="C76" s="11" t="s">
        <v>10</v>
      </c>
      <c r="D76" s="17" t="s">
        <v>85</v>
      </c>
      <c r="E76" s="12" t="s">
        <v>11</v>
      </c>
      <c r="F76" s="13">
        <v>1077524180</v>
      </c>
      <c r="G76" s="14">
        <v>4501716780</v>
      </c>
      <c r="H76" s="15">
        <f>IF(Table1[[#This Row],[PEDIDO]]&lt;&gt;"",_xlfn.XLOOKUP(Table1[[#This Row],[PEDIDO]],'[1]BASE DE VIM''s-NF''s'!I:I,'[1]BASE DE VIM''s-NF''s'!F:F,"-"),"-")</f>
        <v>2954081</v>
      </c>
      <c r="I76" s="16" t="str">
        <f>_xlfn.XLOOKUP(Table1[[#This Row],[VIM]],'[1]BASE DE VIM''s-NF''s'!F:F,'[1]BASE DE VIM''s-NF''s'!A:A,"")</f>
        <v>Lançado</v>
      </c>
      <c r="J76" s="15" t="str">
        <f>_xlfn.XLOOKUP(Table1[[#This Row],[VIM]],'[1]BASE DE VIM''s-NF''s'!F:F,'[1]BASE DE VIM''s-NF''s'!L:L,"")</f>
        <v>000033526-1</v>
      </c>
      <c r="K76" s="15" t="str">
        <f>_xlfn.XLOOKUP(Table1[[#This Row],[VIM]],'[1]BASE DE VIM''s-NF''s'!F:F,'[1]BASE DE VIM''s-NF''s'!G:G,"")</f>
        <v>TECNOCRIMPER INDUSTRIA E</v>
      </c>
      <c r="L76" s="15" t="str">
        <f>_xlfn.XLOOKUP(Table1[[#This Row],[PEDIDO]],'[1]BASE DE VIM''s-NF''s'!I:I,'[1]BASE DE VIM''s-NF''s'!R:R,"")</f>
        <v>2,276.19</v>
      </c>
      <c r="M76" s="14" t="s">
        <v>12</v>
      </c>
    </row>
    <row r="77" spans="1:13" ht="27.6" x14ac:dyDescent="0.3">
      <c r="A77" s="24">
        <v>45993</v>
      </c>
      <c r="B77" s="25" t="s">
        <v>229</v>
      </c>
      <c r="C77" s="11" t="s">
        <v>10</v>
      </c>
      <c r="D77" s="17" t="s">
        <v>86</v>
      </c>
      <c r="E77" s="12" t="s">
        <v>11</v>
      </c>
      <c r="F77" s="13">
        <v>1077627217</v>
      </c>
      <c r="G77" s="14">
        <v>4501718721</v>
      </c>
      <c r="H77" s="15">
        <f>IF(Table1[[#This Row],[PEDIDO]]&lt;&gt;"",_xlfn.XLOOKUP(Table1[[#This Row],[PEDIDO]],'[1]BASE DE VIM''s-NF''s'!I:I,'[1]BASE DE VIM''s-NF''s'!F:F,"-"),"-")</f>
        <v>2953527</v>
      </c>
      <c r="I77" s="16" t="str">
        <f>_xlfn.XLOOKUP(Table1[[#This Row],[VIM]],'[1]BASE DE VIM''s-NF''s'!F:F,'[1]BASE DE VIM''s-NF''s'!A:A,"")</f>
        <v>Lançado</v>
      </c>
      <c r="J77" s="15" t="str">
        <f>_xlfn.XLOOKUP(Table1[[#This Row],[VIM]],'[1]BASE DE VIM''s-NF''s'!F:F,'[1]BASE DE VIM''s-NF''s'!L:L,"")</f>
        <v>000130634-1</v>
      </c>
      <c r="K77" s="15" t="str">
        <f>_xlfn.XLOOKUP(Table1[[#This Row],[VIM]],'[1]BASE DE VIM''s-NF''s'!F:F,'[1]BASE DE VIM''s-NF''s'!G:G,"")</f>
        <v>TIAGO DE BROI EIRELI EPP.</v>
      </c>
      <c r="L77" s="15" t="str">
        <f>_xlfn.XLOOKUP(Table1[[#This Row],[PEDIDO]],'[1]BASE DE VIM''s-NF''s'!I:I,'[1]BASE DE VIM''s-NF''s'!R:R,"")</f>
        <v>2,635.85</v>
      </c>
      <c r="M77" s="14" t="s">
        <v>12</v>
      </c>
    </row>
    <row r="78" spans="1:13" x14ac:dyDescent="0.3">
      <c r="A78" s="24">
        <v>45993</v>
      </c>
      <c r="B78" s="25" t="s">
        <v>229</v>
      </c>
      <c r="C78" s="11" t="s">
        <v>10</v>
      </c>
      <c r="D78" s="17" t="s">
        <v>87</v>
      </c>
      <c r="E78" s="12" t="s">
        <v>11</v>
      </c>
      <c r="F78" s="13">
        <v>1077637942</v>
      </c>
      <c r="G78" s="14">
        <v>4501718581</v>
      </c>
      <c r="H78" s="15">
        <f>IF(Table1[[#This Row],[PEDIDO]]&lt;&gt;"",_xlfn.XLOOKUP(Table1[[#This Row],[PEDIDO]],'[1]BASE DE VIM''s-NF''s'!I:I,'[1]BASE DE VIM''s-NF''s'!F:F,"-"),"-")</f>
        <v>2949513</v>
      </c>
      <c r="I78" s="16" t="str">
        <f>_xlfn.XLOOKUP(Table1[[#This Row],[VIM]],'[1]BASE DE VIM''s-NF''s'!F:F,'[1]BASE DE VIM''s-NF''s'!A:A,"")</f>
        <v>Lançado</v>
      </c>
      <c r="J78" s="15" t="str">
        <f>_xlfn.XLOOKUP(Table1[[#This Row],[VIM]],'[1]BASE DE VIM''s-NF''s'!F:F,'[1]BASE DE VIM''s-NF''s'!L:L,"")</f>
        <v>000130280-1</v>
      </c>
      <c r="K78" s="15" t="str">
        <f>_xlfn.XLOOKUP(Table1[[#This Row],[VIM]],'[1]BASE DE VIM''s-NF''s'!F:F,'[1]BASE DE VIM''s-NF''s'!G:G,"")</f>
        <v>TIAGO DE BROI EIRELI EPP.</v>
      </c>
      <c r="L78" s="15" t="str">
        <f>_xlfn.XLOOKUP(Table1[[#This Row],[PEDIDO]],'[1]BASE DE VIM''s-NF''s'!I:I,'[1]BASE DE VIM''s-NF''s'!R:R,"")</f>
        <v>1,940.00</v>
      </c>
      <c r="M78" s="14" t="s">
        <v>12</v>
      </c>
    </row>
    <row r="79" spans="1:13" x14ac:dyDescent="0.3">
      <c r="A79" s="24">
        <v>45993</v>
      </c>
      <c r="B79" s="25" t="s">
        <v>228</v>
      </c>
      <c r="C79" s="11" t="s">
        <v>13</v>
      </c>
      <c r="D79" s="17" t="s">
        <v>88</v>
      </c>
      <c r="E79" s="12" t="s">
        <v>11</v>
      </c>
      <c r="F79" s="13">
        <v>1077637913</v>
      </c>
      <c r="G79" s="14">
        <v>4501718745</v>
      </c>
      <c r="H79" s="15">
        <f>IF(Table1[[#This Row],[PEDIDO]]&lt;&gt;"",_xlfn.XLOOKUP(Table1[[#This Row],[PEDIDO]],'[1]BASE DE VIM''s-NF''s'!I:I,'[1]BASE DE VIM''s-NF''s'!F:F,"-"),"-")</f>
        <v>2962348</v>
      </c>
      <c r="I79" s="16"/>
      <c r="J79" s="15" t="str">
        <f>_xlfn.XLOOKUP(Table1[[#This Row],[VIM]],'[1]BASE DE VIM''s-NF''s'!F:F,'[1]BASE DE VIM''s-NF''s'!L:L,"")</f>
        <v>000000396-9</v>
      </c>
      <c r="K79" s="15" t="str">
        <f>_xlfn.XLOOKUP(Table1[[#This Row],[VIM]],'[1]BASE DE VIM''s-NF''s'!F:F,'[1]BASE DE VIM''s-NF''s'!G:G,"")</f>
        <v>DCSPRO - AUTOMACAO PROJETOS E</v>
      </c>
      <c r="L79" s="15" t="str">
        <f>_xlfn.XLOOKUP(Table1[[#This Row],[PEDIDO]],'[1]BASE DE VIM''s-NF''s'!I:I,'[1]BASE DE VIM''s-NF''s'!R:R,"")</f>
        <v>7,800.00</v>
      </c>
      <c r="M79" s="14" t="s">
        <v>12</v>
      </c>
    </row>
    <row r="80" spans="1:13" x14ac:dyDescent="0.3">
      <c r="A80" s="24">
        <v>45993</v>
      </c>
      <c r="B80" s="25" t="s">
        <v>229</v>
      </c>
      <c r="C80" s="11" t="s">
        <v>10</v>
      </c>
      <c r="D80" s="17" t="s">
        <v>89</v>
      </c>
      <c r="E80" s="12" t="s">
        <v>11</v>
      </c>
      <c r="F80" s="13">
        <v>1077650862</v>
      </c>
      <c r="G80" s="14">
        <v>4501718864</v>
      </c>
      <c r="H80" s="15">
        <f>IF(Table1[[#This Row],[PEDIDO]]&lt;&gt;"",_xlfn.XLOOKUP(Table1[[#This Row],[PEDIDO]],'[1]BASE DE VIM''s-NF''s'!I:I,'[1]BASE DE VIM''s-NF''s'!F:F,"-"),"-")</f>
        <v>2947169</v>
      </c>
      <c r="I80" s="16" t="str">
        <f>_xlfn.XLOOKUP(Table1[[#This Row],[VIM]],'[1]BASE DE VIM''s-NF''s'!F:F,'[1]BASE DE VIM''s-NF''s'!A:A,"")</f>
        <v>Lançado</v>
      </c>
      <c r="J80" s="15" t="str">
        <f>_xlfn.XLOOKUP(Table1[[#This Row],[VIM]],'[1]BASE DE VIM''s-NF''s'!F:F,'[1]BASE DE VIM''s-NF''s'!L:L,"")</f>
        <v>001502452-3</v>
      </c>
      <c r="K80" s="15" t="str">
        <f>_xlfn.XLOOKUP(Table1[[#This Row],[VIM]],'[1]BASE DE VIM''s-NF''s'!F:F,'[1]BASE DE VIM''s-NF''s'!G:G,"")</f>
        <v>ANHANGUERA COMERCIO DE</v>
      </c>
      <c r="L80" s="15" t="str">
        <f>_xlfn.XLOOKUP(Table1[[#This Row],[PEDIDO]],'[1]BASE DE VIM''s-NF''s'!I:I,'[1]BASE DE VIM''s-NF''s'!R:R,"")</f>
        <v>566.09</v>
      </c>
      <c r="M80" s="14" t="s">
        <v>12</v>
      </c>
    </row>
    <row r="81" spans="1:13" x14ac:dyDescent="0.3">
      <c r="A81" s="24">
        <v>45993</v>
      </c>
      <c r="B81" s="25" t="s">
        <v>229</v>
      </c>
      <c r="C81" s="11" t="s">
        <v>10</v>
      </c>
      <c r="D81" s="17" t="s">
        <v>90</v>
      </c>
      <c r="E81" s="12" t="s">
        <v>11</v>
      </c>
      <c r="F81" s="13">
        <v>1077650864</v>
      </c>
      <c r="G81" s="14">
        <v>4501718866</v>
      </c>
      <c r="H81" s="15">
        <f>IF(Table1[[#This Row],[PEDIDO]]&lt;&gt;"",_xlfn.XLOOKUP(Table1[[#This Row],[PEDIDO]],'[1]BASE DE VIM''s-NF''s'!I:I,'[1]BASE DE VIM''s-NF''s'!F:F,"-"),"-")</f>
        <v>2951605</v>
      </c>
      <c r="I81" s="16" t="str">
        <f>_xlfn.XLOOKUP(Table1[[#This Row],[VIM]],'[1]BASE DE VIM''s-NF''s'!F:F,'[1]BASE DE VIM''s-NF''s'!A:A,"")</f>
        <v>Lançado</v>
      </c>
      <c r="J81" s="15" t="str">
        <f>_xlfn.XLOOKUP(Table1[[#This Row],[VIM]],'[1]BASE DE VIM''s-NF''s'!F:F,'[1]BASE DE VIM''s-NF''s'!L:L,"")</f>
        <v>001508003-3</v>
      </c>
      <c r="K81" s="15" t="str">
        <f>_xlfn.XLOOKUP(Table1[[#This Row],[VIM]],'[1]BASE DE VIM''s-NF''s'!F:F,'[1]BASE DE VIM''s-NF''s'!G:G,"")</f>
        <v>ANHANGUERA COMERCIO DE</v>
      </c>
      <c r="L81" s="15" t="str">
        <f>_xlfn.XLOOKUP(Table1[[#This Row],[PEDIDO]],'[1]BASE DE VIM''s-NF''s'!I:I,'[1]BASE DE VIM''s-NF''s'!R:R,"")</f>
        <v>321.37</v>
      </c>
      <c r="M81" s="14" t="s">
        <v>12</v>
      </c>
    </row>
    <row r="82" spans="1:13" x14ac:dyDescent="0.3">
      <c r="A82" s="24">
        <v>45993</v>
      </c>
      <c r="B82" s="25" t="s">
        <v>230</v>
      </c>
      <c r="C82" s="11" t="s">
        <v>10</v>
      </c>
      <c r="D82" s="17" t="s">
        <v>91</v>
      </c>
      <c r="E82" s="12" t="s">
        <v>11</v>
      </c>
      <c r="F82" s="13">
        <v>1077663386</v>
      </c>
      <c r="G82" s="14">
        <v>4501719453</v>
      </c>
      <c r="H82" s="15">
        <f>IF(Table1[[#This Row],[PEDIDO]]&lt;&gt;"",_xlfn.XLOOKUP(Table1[[#This Row],[PEDIDO]],'[1]BASE DE VIM''s-NF''s'!I:I,'[1]BASE DE VIM''s-NF''s'!F:F,"-"),"-")</f>
        <v>2949512</v>
      </c>
      <c r="I82" s="16" t="str">
        <f>_xlfn.XLOOKUP(Table1[[#This Row],[VIM]],'[1]BASE DE VIM''s-NF''s'!F:F,'[1]BASE DE VIM''s-NF''s'!A:A,"")</f>
        <v>Lançado</v>
      </c>
      <c r="J82" s="15" t="str">
        <f>_xlfn.XLOOKUP(Table1[[#This Row],[VIM]],'[1]BASE DE VIM''s-NF''s'!F:F,'[1]BASE DE VIM''s-NF''s'!L:L,"")</f>
        <v>000130276-1</v>
      </c>
      <c r="K82" s="15" t="str">
        <f>_xlfn.XLOOKUP(Table1[[#This Row],[VIM]],'[1]BASE DE VIM''s-NF''s'!F:F,'[1]BASE DE VIM''s-NF''s'!G:G,"")</f>
        <v>TIAGO DE BROI EIRELI EPP.</v>
      </c>
      <c r="L82" s="15" t="str">
        <f>_xlfn.XLOOKUP(Table1[[#This Row],[PEDIDO]],'[1]BASE DE VIM''s-NF''s'!I:I,'[1]BASE DE VIM''s-NF''s'!R:R,"")</f>
        <v>1,991.36</v>
      </c>
      <c r="M82" s="14" t="s">
        <v>12</v>
      </c>
    </row>
    <row r="83" spans="1:13" x14ac:dyDescent="0.3">
      <c r="A83" s="24">
        <v>45993</v>
      </c>
      <c r="B83" s="25" t="s">
        <v>230</v>
      </c>
      <c r="C83" s="11" t="s">
        <v>10</v>
      </c>
      <c r="D83" s="17" t="s">
        <v>92</v>
      </c>
      <c r="E83" s="12" t="s">
        <v>11</v>
      </c>
      <c r="F83" s="13">
        <v>1077663390</v>
      </c>
      <c r="G83" s="14">
        <v>4501719454</v>
      </c>
      <c r="H83" s="15">
        <f>IF(Table1[[#This Row],[PEDIDO]]&lt;&gt;"",_xlfn.XLOOKUP(Table1[[#This Row],[PEDIDO]],'[1]BASE DE VIM''s-NF''s'!I:I,'[1]BASE DE VIM''s-NF''s'!F:F,"-"),"-")</f>
        <v>2950785</v>
      </c>
      <c r="I83" s="16" t="str">
        <f>_xlfn.XLOOKUP(Table1[[#This Row],[VIM]],'[1]BASE DE VIM''s-NF''s'!F:F,'[1]BASE DE VIM''s-NF''s'!A:A,"")</f>
        <v>Lançado</v>
      </c>
      <c r="J83" s="15" t="str">
        <f>_xlfn.XLOOKUP(Table1[[#This Row],[VIM]],'[1]BASE DE VIM''s-NF''s'!F:F,'[1]BASE DE VIM''s-NF''s'!L:L,"")</f>
        <v>000130507-1</v>
      </c>
      <c r="K83" s="15" t="str">
        <f>_xlfn.XLOOKUP(Table1[[#This Row],[VIM]],'[1]BASE DE VIM''s-NF''s'!F:F,'[1]BASE DE VIM''s-NF''s'!G:G,"")</f>
        <v>TIAGO DE BROI EIRELI EPP.</v>
      </c>
      <c r="L83" s="15" t="str">
        <f>_xlfn.XLOOKUP(Table1[[#This Row],[PEDIDO]],'[1]BASE DE VIM''s-NF''s'!I:I,'[1]BASE DE VIM''s-NF''s'!R:R,"")</f>
        <v>539.98</v>
      </c>
      <c r="M83" s="14" t="s">
        <v>12</v>
      </c>
    </row>
    <row r="84" spans="1:13" x14ac:dyDescent="0.3">
      <c r="A84" s="24">
        <v>46000</v>
      </c>
      <c r="B84" s="25" t="s">
        <v>229</v>
      </c>
      <c r="C84" s="11" t="s">
        <v>10</v>
      </c>
      <c r="D84" s="17" t="s">
        <v>93</v>
      </c>
      <c r="E84" s="12" t="s">
        <v>11</v>
      </c>
      <c r="F84" s="13">
        <v>1077671835</v>
      </c>
      <c r="G84" s="14">
        <v>4501719457</v>
      </c>
      <c r="H84" s="15">
        <f>IF(Table1[[#This Row],[PEDIDO]]&lt;&gt;"",_xlfn.XLOOKUP(Table1[[#This Row],[PEDIDO]],'[1]BASE DE VIM''s-NF''s'!I:I,'[1]BASE DE VIM''s-NF''s'!F:F,"-"),"-")</f>
        <v>2950241</v>
      </c>
      <c r="I84" s="16" t="str">
        <f>_xlfn.XLOOKUP(Table1[[#This Row],[VIM]],'[1]BASE DE VIM''s-NF''s'!F:F,'[1]BASE DE VIM''s-NF''s'!A:A,"")</f>
        <v>Lançado</v>
      </c>
      <c r="J84" s="15" t="str">
        <f>_xlfn.XLOOKUP(Table1[[#This Row],[VIM]],'[1]BASE DE VIM''s-NF''s'!F:F,'[1]BASE DE VIM''s-NF''s'!L:L,"")</f>
        <v>000007270-1</v>
      </c>
      <c r="K84" s="15" t="str">
        <f>_xlfn.XLOOKUP(Table1[[#This Row],[VIM]],'[1]BASE DE VIM''s-NF''s'!F:F,'[1]BASE DE VIM''s-NF''s'!G:G,"")</f>
        <v>ROVAMEC USINAGEM LTDA. EPP.</v>
      </c>
      <c r="L84" s="15" t="str">
        <f>_xlfn.XLOOKUP(Table1[[#This Row],[PEDIDO]],'[1]BASE DE VIM''s-NF''s'!I:I,'[1]BASE DE VIM''s-NF''s'!R:R,"")</f>
        <v>3,980.00</v>
      </c>
      <c r="M84" s="14" t="s">
        <v>12</v>
      </c>
    </row>
    <row r="85" spans="1:13" x14ac:dyDescent="0.3">
      <c r="A85" s="24">
        <v>46000</v>
      </c>
      <c r="B85" s="25" t="s">
        <v>228</v>
      </c>
      <c r="C85" s="11" t="s">
        <v>10</v>
      </c>
      <c r="D85" s="17" t="s">
        <v>94</v>
      </c>
      <c r="E85" s="12" t="s">
        <v>11</v>
      </c>
      <c r="F85" s="13">
        <v>1077700735</v>
      </c>
      <c r="G85" s="14">
        <v>4501719496</v>
      </c>
      <c r="H85" s="15">
        <f>IF(Table1[[#This Row],[PEDIDO]]&lt;&gt;"",_xlfn.XLOOKUP(Table1[[#This Row],[PEDIDO]],'[1]BASE DE VIM''s-NF''s'!I:I,'[1]BASE DE VIM''s-NF''s'!F:F,"-"),"-")</f>
        <v>2971030</v>
      </c>
      <c r="I85" s="16" t="str">
        <f>_xlfn.XLOOKUP(Table1[[#This Row],[VIM]],'[1]BASE DE VIM''s-NF''s'!F:F,'[1]BASE DE VIM''s-NF''s'!A:A,"")</f>
        <v>Lançado</v>
      </c>
      <c r="J85" s="15" t="str">
        <f>_xlfn.XLOOKUP(Table1[[#This Row],[VIM]],'[1]BASE DE VIM''s-NF''s'!F:F,'[1]BASE DE VIM''s-NF''s'!L:L,"")</f>
        <v>000000129-1</v>
      </c>
      <c r="K85" s="15" t="str">
        <f>_xlfn.XLOOKUP(Table1[[#This Row],[VIM]],'[1]BASE DE VIM''s-NF''s'!F:F,'[1]BASE DE VIM''s-NF''s'!G:G,"")</f>
        <v>OCTANS SISTEMAS DE AUTOMACAO LTDA.</v>
      </c>
      <c r="L85" s="15" t="str">
        <f>_xlfn.XLOOKUP(Table1[[#This Row],[PEDIDO]],'[1]BASE DE VIM''s-NF''s'!I:I,'[1]BASE DE VIM''s-NF''s'!R:R,"")</f>
        <v>2,370.00</v>
      </c>
      <c r="M85" s="14" t="s">
        <v>12</v>
      </c>
    </row>
    <row r="86" spans="1:13" x14ac:dyDescent="0.3">
      <c r="A86" s="24">
        <v>46002</v>
      </c>
      <c r="B86" s="25" t="s">
        <v>228</v>
      </c>
      <c r="C86" s="11" t="s">
        <v>10</v>
      </c>
      <c r="D86" s="17" t="s">
        <v>95</v>
      </c>
      <c r="E86" s="12" t="s">
        <v>11</v>
      </c>
      <c r="F86" s="13">
        <v>1077728924</v>
      </c>
      <c r="G86" s="14">
        <v>4501721350</v>
      </c>
      <c r="H86" s="15">
        <f>IF(Table1[[#This Row],[PEDIDO]]&lt;&gt;"",_xlfn.XLOOKUP(Table1[[#This Row],[PEDIDO]],'[1]BASE DE VIM''s-NF''s'!I:I,'[1]BASE DE VIM''s-NF''s'!F:F,"-"),"-")</f>
        <v>2958135</v>
      </c>
      <c r="I86" s="16" t="str">
        <f>_xlfn.XLOOKUP(Table1[[#This Row],[VIM]],'[1]BASE DE VIM''s-NF''s'!F:F,'[1]BASE DE VIM''s-NF''s'!A:A,"")</f>
        <v>Lançado</v>
      </c>
      <c r="J86" s="15" t="str">
        <f>_xlfn.XLOOKUP(Table1[[#This Row],[VIM]],'[1]BASE DE VIM''s-NF''s'!F:F,'[1]BASE DE VIM''s-NF''s'!L:L,"")</f>
        <v>000000018-9</v>
      </c>
      <c r="K86" s="15" t="str">
        <f>_xlfn.XLOOKUP(Table1[[#This Row],[VIM]],'[1]BASE DE VIM''s-NF''s'!F:F,'[1]BASE DE VIM''s-NF''s'!G:G,"")</f>
        <v>RIGGING BRASIL PRESTACAO DE</v>
      </c>
      <c r="L86" s="15" t="str">
        <f>_xlfn.XLOOKUP(Table1[[#This Row],[PEDIDO]],'[1]BASE DE VIM''s-NF''s'!I:I,'[1]BASE DE VIM''s-NF''s'!R:R,"")</f>
        <v>6,257.85</v>
      </c>
      <c r="M86" s="14" t="s">
        <v>12</v>
      </c>
    </row>
    <row r="87" spans="1:13" x14ac:dyDescent="0.3">
      <c r="A87" s="24">
        <v>46002</v>
      </c>
      <c r="B87" s="25" t="s">
        <v>228</v>
      </c>
      <c r="C87" s="11" t="s">
        <v>10</v>
      </c>
      <c r="D87" s="17" t="s">
        <v>96</v>
      </c>
      <c r="E87" s="12" t="s">
        <v>11</v>
      </c>
      <c r="F87" s="13">
        <v>1077728946</v>
      </c>
      <c r="G87" s="14">
        <v>4501719697</v>
      </c>
      <c r="H87" s="15">
        <f>IF(Table1[[#This Row],[PEDIDO]]&lt;&gt;"",_xlfn.XLOOKUP(Table1[[#This Row],[PEDIDO]],'[1]BASE DE VIM''s-NF''s'!I:I,'[1]BASE DE VIM''s-NF''s'!F:F,"-"),"-")</f>
        <v>2957463</v>
      </c>
      <c r="I87" s="16" t="str">
        <f>_xlfn.XLOOKUP(Table1[[#This Row],[VIM]],'[1]BASE DE VIM''s-NF''s'!F:F,'[1]BASE DE VIM''s-NF''s'!A:A,"")</f>
        <v>Lançado</v>
      </c>
      <c r="J87" s="15" t="str">
        <f>_xlfn.XLOOKUP(Table1[[#This Row],[VIM]],'[1]BASE DE VIM''s-NF''s'!F:F,'[1]BASE DE VIM''s-NF''s'!L:L,"")</f>
        <v>000000924-1</v>
      </c>
      <c r="K87" s="15" t="str">
        <f>_xlfn.XLOOKUP(Table1[[#This Row],[VIM]],'[1]BASE DE VIM''s-NF''s'!F:F,'[1]BASE DE VIM''s-NF''s'!G:G,"")</f>
        <v>MB - COMERCIO E PRESTACAO DE SERVIC</v>
      </c>
      <c r="L87" s="15" t="str">
        <f>_xlfn.XLOOKUP(Table1[[#This Row],[PEDIDO]],'[1]BASE DE VIM''s-NF''s'!I:I,'[1]BASE DE VIM''s-NF''s'!R:R,"")</f>
        <v>1,900.00</v>
      </c>
      <c r="M87" s="14" t="s">
        <v>12</v>
      </c>
    </row>
    <row r="88" spans="1:13" x14ac:dyDescent="0.3">
      <c r="A88" s="24">
        <v>46002</v>
      </c>
      <c r="B88" s="25" t="s">
        <v>228</v>
      </c>
      <c r="C88" s="11" t="s">
        <v>10</v>
      </c>
      <c r="D88" s="17" t="s">
        <v>97</v>
      </c>
      <c r="E88" s="12" t="s">
        <v>11</v>
      </c>
      <c r="F88" s="13">
        <v>1077772923</v>
      </c>
      <c r="G88" s="14">
        <v>4501721225</v>
      </c>
      <c r="H88" s="15">
        <f>IF(Table1[[#This Row],[PEDIDO]]&lt;&gt;"",_xlfn.XLOOKUP(Table1[[#This Row],[PEDIDO]],'[1]BASE DE VIM''s-NF''s'!I:I,'[1]BASE DE VIM''s-NF''s'!F:F,"-"),"-")</f>
        <v>2954028</v>
      </c>
      <c r="I88" s="16" t="str">
        <f>_xlfn.XLOOKUP(Table1[[#This Row],[VIM]],'[1]BASE DE VIM''s-NF''s'!F:F,'[1]BASE DE VIM''s-NF''s'!A:A,"")</f>
        <v>Lançado</v>
      </c>
      <c r="J88" s="15" t="str">
        <f>_xlfn.XLOOKUP(Table1[[#This Row],[VIM]],'[1]BASE DE VIM''s-NF''s'!F:F,'[1]BASE DE VIM''s-NF''s'!L:L,"")</f>
        <v>000001211-9</v>
      </c>
      <c r="K88" s="15" t="str">
        <f>_xlfn.XLOOKUP(Table1[[#This Row],[VIM]],'[1]BASE DE VIM''s-NF''s'!F:F,'[1]BASE DE VIM''s-NF''s'!G:G,"")</f>
        <v>ZAP USINAGEM E CALDEIRARIA</v>
      </c>
      <c r="L88" s="15" t="str">
        <f>_xlfn.XLOOKUP(Table1[[#This Row],[PEDIDO]],'[1]BASE DE VIM''s-NF''s'!I:I,'[1]BASE DE VIM''s-NF''s'!R:R,"")</f>
        <v>6,140.00</v>
      </c>
      <c r="M88" s="14" t="s">
        <v>12</v>
      </c>
    </row>
    <row r="89" spans="1:13" ht="27.6" x14ac:dyDescent="0.3">
      <c r="A89" s="24">
        <v>46028</v>
      </c>
      <c r="B89" s="25" t="s">
        <v>228</v>
      </c>
      <c r="C89" s="11" t="s">
        <v>10</v>
      </c>
      <c r="D89" s="17" t="s">
        <v>98</v>
      </c>
      <c r="E89" s="12" t="s">
        <v>11</v>
      </c>
      <c r="F89" s="13">
        <v>1077891990</v>
      </c>
      <c r="G89" s="14">
        <v>4501721478</v>
      </c>
      <c r="H89" s="15">
        <f>IF(Table1[[#This Row],[PEDIDO]]&lt;&gt;"",_xlfn.XLOOKUP(Table1[[#This Row],[PEDIDO]],'[1]BASE DE VIM''s-NF''s'!I:I,'[1]BASE DE VIM''s-NF''s'!F:F,"-"),"-")</f>
        <v>2961431</v>
      </c>
      <c r="I89" s="16" t="str">
        <f>_xlfn.XLOOKUP(Table1[[#This Row],[VIM]],'[1]BASE DE VIM''s-NF''s'!F:F,'[1]BASE DE VIM''s-NF''s'!A:A,"")</f>
        <v>Lançado</v>
      </c>
      <c r="J89" s="15" t="str">
        <f>_xlfn.XLOOKUP(Table1[[#This Row],[VIM]],'[1]BASE DE VIM''s-NF''s'!F:F,'[1]BASE DE VIM''s-NF''s'!L:L,"")</f>
        <v>000007295-1</v>
      </c>
      <c r="K89" s="15" t="str">
        <f>_xlfn.XLOOKUP(Table1[[#This Row],[VIM]],'[1]BASE DE VIM''s-NF''s'!F:F,'[1]BASE DE VIM''s-NF''s'!G:G,"")</f>
        <v>ROVAMEC USINAGEM LTDA. EPP.</v>
      </c>
      <c r="L89" s="15" t="str">
        <f>_xlfn.XLOOKUP(Table1[[#This Row],[PEDIDO]],'[1]BASE DE VIM''s-NF''s'!I:I,'[1]BASE DE VIM''s-NF''s'!R:R,"")</f>
        <v>3,092.00</v>
      </c>
      <c r="M89" s="14" t="s">
        <v>12</v>
      </c>
    </row>
    <row r="90" spans="1:13" x14ac:dyDescent="0.3">
      <c r="A90" s="24">
        <v>46029</v>
      </c>
      <c r="B90" s="25" t="s">
        <v>228</v>
      </c>
      <c r="C90" s="11" t="s">
        <v>10</v>
      </c>
      <c r="D90" s="17" t="s">
        <v>99</v>
      </c>
      <c r="E90" s="12" t="s">
        <v>11</v>
      </c>
      <c r="F90" s="13">
        <v>1077905251</v>
      </c>
      <c r="G90" s="14">
        <v>4501721647</v>
      </c>
      <c r="H90" s="15">
        <f>IF(Table1[[#This Row],[PEDIDO]]&lt;&gt;"",_xlfn.XLOOKUP(Table1[[#This Row],[PEDIDO]],'[1]BASE DE VIM''s-NF''s'!I:I,'[1]BASE DE VIM''s-NF''s'!F:F,"-"),"-")</f>
        <v>2963457</v>
      </c>
      <c r="I90" s="16" t="str">
        <f>_xlfn.XLOOKUP(Table1[[#This Row],[VIM]],'[1]BASE DE VIM''s-NF''s'!F:F,'[1]BASE DE VIM''s-NF''s'!A:A,"")</f>
        <v>Lançado</v>
      </c>
      <c r="J90" s="15" t="str">
        <f>_xlfn.XLOOKUP(Table1[[#This Row],[VIM]],'[1]BASE DE VIM''s-NF''s'!F:F,'[1]BASE DE VIM''s-NF''s'!L:L,"")</f>
        <v>000132032-1</v>
      </c>
      <c r="K90" s="15" t="str">
        <f>_xlfn.XLOOKUP(Table1[[#This Row],[VIM]],'[1]BASE DE VIM''s-NF''s'!F:F,'[1]BASE DE VIM''s-NF''s'!G:G,"")</f>
        <v>TIAGO DE BROI EIRELI EPP.</v>
      </c>
      <c r="L90" s="15" t="str">
        <f>_xlfn.XLOOKUP(Table1[[#This Row],[PEDIDO]],'[1]BASE DE VIM''s-NF''s'!I:I,'[1]BASE DE VIM''s-NF''s'!R:R,"")</f>
        <v>1,991.36</v>
      </c>
      <c r="M90" s="14" t="s">
        <v>12</v>
      </c>
    </row>
    <row r="91" spans="1:13" x14ac:dyDescent="0.3">
      <c r="A91" s="24">
        <v>46029</v>
      </c>
      <c r="B91" s="25" t="s">
        <v>227</v>
      </c>
      <c r="C91" s="11" t="s">
        <v>10</v>
      </c>
      <c r="D91" s="17" t="s">
        <v>100</v>
      </c>
      <c r="E91" s="12" t="s">
        <v>11</v>
      </c>
      <c r="F91" s="13">
        <v>1077905254</v>
      </c>
      <c r="G91" s="14">
        <v>4501721541</v>
      </c>
      <c r="H91" s="15">
        <f>IF(Table1[[#This Row],[PEDIDO]]&lt;&gt;"",_xlfn.XLOOKUP(Table1[[#This Row],[PEDIDO]],'[1]BASE DE VIM''s-NF''s'!I:I,'[1]BASE DE VIM''s-NF''s'!F:F,"-"),"-")</f>
        <v>2954447</v>
      </c>
      <c r="I91" s="16" t="str">
        <f>_xlfn.XLOOKUP(Table1[[#This Row],[VIM]],'[1]BASE DE VIM''s-NF''s'!F:F,'[1]BASE DE VIM''s-NF''s'!A:A,"")</f>
        <v>Lançado</v>
      </c>
      <c r="J91" s="15" t="str">
        <f>_xlfn.XLOOKUP(Table1[[#This Row],[VIM]],'[1]BASE DE VIM''s-NF''s'!F:F,'[1]BASE DE VIM''s-NF''s'!L:L,"")</f>
        <v>001512417-3</v>
      </c>
      <c r="K91" s="15" t="str">
        <f>_xlfn.XLOOKUP(Table1[[#This Row],[VIM]],'[1]BASE DE VIM''s-NF''s'!F:F,'[1]BASE DE VIM''s-NF''s'!G:G,"")</f>
        <v>ANHANGUERA COMERCIO DE</v>
      </c>
      <c r="L91" s="15" t="str">
        <f>_xlfn.XLOOKUP(Table1[[#This Row],[PEDIDO]],'[1]BASE DE VIM''s-NF''s'!I:I,'[1]BASE DE VIM''s-NF''s'!R:R,"")</f>
        <v>6,584.97</v>
      </c>
      <c r="M91" s="14" t="s">
        <v>12</v>
      </c>
    </row>
    <row r="92" spans="1:13" x14ac:dyDescent="0.3">
      <c r="A92" s="24">
        <v>46029</v>
      </c>
      <c r="B92" s="25" t="s">
        <v>228</v>
      </c>
      <c r="C92" s="11" t="s">
        <v>10</v>
      </c>
      <c r="D92" s="17" t="s">
        <v>101</v>
      </c>
      <c r="E92" s="12" t="s">
        <v>11</v>
      </c>
      <c r="F92" s="13">
        <v>1077906080</v>
      </c>
      <c r="G92" s="14">
        <v>4501721935</v>
      </c>
      <c r="H92" s="15">
        <f>IF(Table1[[#This Row],[PEDIDO]]&lt;&gt;"",_xlfn.XLOOKUP(Table1[[#This Row],[PEDIDO]],'[1]BASE DE VIM''s-NF''s'!I:I,'[1]BASE DE VIM''s-NF''s'!F:F,"-"),"-")</f>
        <v>2958646</v>
      </c>
      <c r="I92" s="16" t="str">
        <f>_xlfn.XLOOKUP(Table1[[#This Row],[VIM]],'[1]BASE DE VIM''s-NF''s'!F:F,'[1]BASE DE VIM''s-NF''s'!A:A,"")</f>
        <v>Lançado</v>
      </c>
      <c r="J92" s="15" t="str">
        <f>_xlfn.XLOOKUP(Table1[[#This Row],[VIM]],'[1]BASE DE VIM''s-NF''s'!F:F,'[1]BASE DE VIM''s-NF''s'!L:L,"")</f>
        <v>001517597-3</v>
      </c>
      <c r="K92" s="15" t="str">
        <f>_xlfn.XLOOKUP(Table1[[#This Row],[VIM]],'[1]BASE DE VIM''s-NF''s'!F:F,'[1]BASE DE VIM''s-NF''s'!G:G,"")</f>
        <v>ANHANGUERA COMERCIO DE</v>
      </c>
      <c r="L92" s="15" t="str">
        <f>_xlfn.XLOOKUP(Table1[[#This Row],[PEDIDO]],'[1]BASE DE VIM''s-NF''s'!I:I,'[1]BASE DE VIM''s-NF''s'!R:R,"")</f>
        <v>2,043.04</v>
      </c>
      <c r="M92" s="14" t="s">
        <v>12</v>
      </c>
    </row>
    <row r="93" spans="1:13" x14ac:dyDescent="0.3">
      <c r="A93" s="24">
        <v>46031</v>
      </c>
      <c r="B93" s="25" t="s">
        <v>228</v>
      </c>
      <c r="C93" s="11" t="s">
        <v>13</v>
      </c>
      <c r="D93" s="17" t="s">
        <v>102</v>
      </c>
      <c r="E93" s="12" t="s">
        <v>11</v>
      </c>
      <c r="F93" s="13">
        <v>1077930846</v>
      </c>
      <c r="G93" s="14">
        <v>4501721989</v>
      </c>
      <c r="H93" s="15">
        <f>IF(Table1[[#This Row],[PEDIDO]]&lt;&gt;"",_xlfn.XLOOKUP(Table1[[#This Row],[PEDIDO]],'[1]BASE DE VIM''s-NF''s'!I:I,'[1]BASE DE VIM''s-NF''s'!F:F,"-"),"-")</f>
        <v>2983992</v>
      </c>
      <c r="I93" s="16" t="str">
        <f>_xlfn.XLOOKUP(Table1[[#This Row],[VIM]],'[1]BASE DE VIM''s-NF''s'!F:F,'[1]BASE DE VIM''s-NF''s'!A:A,"")</f>
        <v>Lançado</v>
      </c>
      <c r="J93" s="15" t="str">
        <f>_xlfn.XLOOKUP(Table1[[#This Row],[VIM]],'[1]BASE DE VIM''s-NF''s'!F:F,'[1]BASE DE VIM''s-NF''s'!L:L,"")</f>
        <v>000000478-9</v>
      </c>
      <c r="K93" s="15" t="str">
        <f>_xlfn.XLOOKUP(Table1[[#This Row],[VIM]],'[1]BASE DE VIM''s-NF''s'!F:F,'[1]BASE DE VIM''s-NF''s'!G:G,"")</f>
        <v>JVA COMERCIO E ASSISTENCIA TECNICA</v>
      </c>
      <c r="L93" s="15" t="str">
        <f>_xlfn.XLOOKUP(Table1[[#This Row],[PEDIDO]],'[1]BASE DE VIM''s-NF''s'!I:I,'[1]BASE DE VIM''s-NF''s'!R:R,"")</f>
        <v>1,455.60</v>
      </c>
      <c r="M93" s="14" t="s">
        <v>12</v>
      </c>
    </row>
    <row r="94" spans="1:13" x14ac:dyDescent="0.3">
      <c r="A94" s="24">
        <v>46034</v>
      </c>
      <c r="B94" s="25" t="s">
        <v>228</v>
      </c>
      <c r="C94" s="11" t="s">
        <v>13</v>
      </c>
      <c r="D94" s="17" t="s">
        <v>103</v>
      </c>
      <c r="E94" s="12" t="s">
        <v>11</v>
      </c>
      <c r="F94" s="13">
        <v>1077935790</v>
      </c>
      <c r="G94" s="14">
        <v>4501722228</v>
      </c>
      <c r="H94" s="15"/>
      <c r="I94" s="16"/>
      <c r="J94" s="15"/>
      <c r="K94" s="15" t="s">
        <v>237</v>
      </c>
      <c r="L94" s="15" t="s">
        <v>273</v>
      </c>
      <c r="M94" s="14" t="s">
        <v>236</v>
      </c>
    </row>
    <row r="95" spans="1:13" x14ac:dyDescent="0.3">
      <c r="A95" s="24">
        <v>46034</v>
      </c>
      <c r="B95" s="25" t="s">
        <v>229</v>
      </c>
      <c r="C95" s="11" t="s">
        <v>10</v>
      </c>
      <c r="D95" s="17" t="s">
        <v>104</v>
      </c>
      <c r="E95" s="12" t="s">
        <v>11</v>
      </c>
      <c r="F95" s="13">
        <v>1077935996</v>
      </c>
      <c r="G95" s="14">
        <v>4501722091</v>
      </c>
      <c r="H95" s="15">
        <f>IF(Table1[[#This Row],[PEDIDO]]&lt;&gt;"",_xlfn.XLOOKUP(Table1[[#This Row],[PEDIDO]],'[1]BASE DE VIM''s-NF''s'!I:I,'[1]BASE DE VIM''s-NF''s'!F:F,"-"),"-")</f>
        <v>2962169</v>
      </c>
      <c r="I95" s="16" t="str">
        <f>_xlfn.XLOOKUP(Table1[[#This Row],[VIM]],'[1]BASE DE VIM''s-NF''s'!F:F,'[1]BASE DE VIM''s-NF''s'!A:A,"")</f>
        <v>Lançado</v>
      </c>
      <c r="J95" s="15" t="str">
        <f>_xlfn.XLOOKUP(Table1[[#This Row],[VIM]],'[1]BASE DE VIM''s-NF''s'!F:F,'[1]BASE DE VIM''s-NF''s'!L:L,"")</f>
        <v>000132370-1</v>
      </c>
      <c r="K95" s="15" t="str">
        <f>_xlfn.XLOOKUP(Table1[[#This Row],[VIM]],'[1]BASE DE VIM''s-NF''s'!F:F,'[1]BASE DE VIM''s-NF''s'!G:G,"")</f>
        <v>TIAGO DE BROI EIRELI EPP.</v>
      </c>
      <c r="L95" s="15" t="str">
        <f>_xlfn.XLOOKUP(Table1[[#This Row],[PEDIDO]],'[1]BASE DE VIM''s-NF''s'!I:I,'[1]BASE DE VIM''s-NF''s'!R:R,"")</f>
        <v>224.40</v>
      </c>
      <c r="M95" s="14" t="s">
        <v>12</v>
      </c>
    </row>
    <row r="96" spans="1:13" x14ac:dyDescent="0.3">
      <c r="A96" s="24">
        <v>46034</v>
      </c>
      <c r="B96" s="25" t="s">
        <v>229</v>
      </c>
      <c r="C96" s="11" t="s">
        <v>10</v>
      </c>
      <c r="D96" s="17" t="s">
        <v>105</v>
      </c>
      <c r="E96" s="12" t="s">
        <v>11</v>
      </c>
      <c r="F96" s="13">
        <v>1077935997</v>
      </c>
      <c r="G96" s="14">
        <v>4501722089</v>
      </c>
      <c r="H96" s="15">
        <f>IF(Table1[[#This Row],[PEDIDO]]&lt;&gt;"",_xlfn.XLOOKUP(Table1[[#This Row],[PEDIDO]],'[1]BASE DE VIM''s-NF''s'!I:I,'[1]BASE DE VIM''s-NF''s'!F:F,"-"),"-")</f>
        <v>2967089</v>
      </c>
      <c r="I96" s="16" t="str">
        <f>_xlfn.XLOOKUP(Table1[[#This Row],[VIM]],'[1]BASE DE VIM''s-NF''s'!F:F,'[1]BASE DE VIM''s-NF''s'!A:A,"")</f>
        <v>Lançado</v>
      </c>
      <c r="J96" s="15" t="str">
        <f>_xlfn.XLOOKUP(Table1[[#This Row],[VIM]],'[1]BASE DE VIM''s-NF''s'!F:F,'[1]BASE DE VIM''s-NF''s'!L:L,"")</f>
        <v>000133139-1</v>
      </c>
      <c r="K96" s="15" t="str">
        <f>_xlfn.XLOOKUP(Table1[[#This Row],[VIM]],'[1]BASE DE VIM''s-NF''s'!F:F,'[1]BASE DE VIM''s-NF''s'!G:G,"")</f>
        <v>TIAGO DE BROI EIRELI EPP.</v>
      </c>
      <c r="L96" s="15" t="str">
        <f>_xlfn.XLOOKUP(Table1[[#This Row],[PEDIDO]],'[1]BASE DE VIM''s-NF''s'!I:I,'[1]BASE DE VIM''s-NF''s'!R:R,"")</f>
        <v>2,263.71</v>
      </c>
      <c r="M96" s="14" t="s">
        <v>12</v>
      </c>
    </row>
    <row r="97" spans="1:13" x14ac:dyDescent="0.3">
      <c r="A97" s="24">
        <v>46034</v>
      </c>
      <c r="B97" s="25" t="s">
        <v>230</v>
      </c>
      <c r="C97" s="11" t="s">
        <v>10</v>
      </c>
      <c r="D97" s="17" t="s">
        <v>106</v>
      </c>
      <c r="E97" s="12" t="s">
        <v>11</v>
      </c>
      <c r="F97" s="13">
        <v>1077935998</v>
      </c>
      <c r="G97" s="14">
        <v>4501722087</v>
      </c>
      <c r="H97" s="15">
        <f>IF(Table1[[#This Row],[PEDIDO]]&lt;&gt;"",_xlfn.XLOOKUP(Table1[[#This Row],[PEDIDO]],'[1]BASE DE VIM''s-NF''s'!I:I,'[1]BASE DE VIM''s-NF''s'!F:F,"-"),"-")</f>
        <v>2959938</v>
      </c>
      <c r="I97" s="16" t="str">
        <f>_xlfn.XLOOKUP(Table1[[#This Row],[VIM]],'[1]BASE DE VIM''s-NF''s'!F:F,'[1]BASE DE VIM''s-NF''s'!A:A,"")</f>
        <v>Lançado</v>
      </c>
      <c r="J97" s="15" t="str">
        <f>_xlfn.XLOOKUP(Table1[[#This Row],[VIM]],'[1]BASE DE VIM''s-NF''s'!F:F,'[1]BASE DE VIM''s-NF''s'!L:L,"")</f>
        <v>000131874-1</v>
      </c>
      <c r="K97" s="15" t="str">
        <f>_xlfn.XLOOKUP(Table1[[#This Row],[VIM]],'[1]BASE DE VIM''s-NF''s'!F:F,'[1]BASE DE VIM''s-NF''s'!G:G,"")</f>
        <v>TIAGO DE BROI EIRELI EPP.</v>
      </c>
      <c r="L97" s="15" t="str">
        <f>_xlfn.XLOOKUP(Table1[[#This Row],[PEDIDO]],'[1]BASE DE VIM''s-NF''s'!I:I,'[1]BASE DE VIM''s-NF''s'!R:R,"")</f>
        <v>891.10</v>
      </c>
      <c r="M97" s="14" t="s">
        <v>12</v>
      </c>
    </row>
    <row r="98" spans="1:13" x14ac:dyDescent="0.3">
      <c r="A98" s="24">
        <v>46036</v>
      </c>
      <c r="B98" s="25" t="s">
        <v>229</v>
      </c>
      <c r="C98" s="11" t="s">
        <v>10</v>
      </c>
      <c r="D98" s="17" t="s">
        <v>107</v>
      </c>
      <c r="E98" s="12" t="s">
        <v>11</v>
      </c>
      <c r="F98" s="13">
        <v>1077946809</v>
      </c>
      <c r="G98" s="14">
        <v>4501722488</v>
      </c>
      <c r="H98" s="15">
        <f>IF(Table1[[#This Row],[PEDIDO]]&lt;&gt;"",_xlfn.XLOOKUP(Table1[[#This Row],[PEDIDO]],'[1]BASE DE VIM''s-NF''s'!I:I,'[1]BASE DE VIM''s-NF''s'!F:F,"-"),"-")</f>
        <v>2960749</v>
      </c>
      <c r="I98" s="16" t="str">
        <f>_xlfn.XLOOKUP(Table1[[#This Row],[VIM]],'[1]BASE DE VIM''s-NF''s'!F:F,'[1]BASE DE VIM''s-NF''s'!A:A,"")</f>
        <v>Lançado</v>
      </c>
      <c r="J98" s="15" t="str">
        <f>_xlfn.XLOOKUP(Table1[[#This Row],[VIM]],'[1]BASE DE VIM''s-NF''s'!F:F,'[1]BASE DE VIM''s-NF''s'!L:L,"")</f>
        <v>000579809-1</v>
      </c>
      <c r="K98" s="15" t="str">
        <f>_xlfn.XLOOKUP(Table1[[#This Row],[VIM]],'[1]BASE DE VIM''s-NF''s'!F:F,'[1]BASE DE VIM''s-NF''s'!G:G,"")</f>
        <v>AGIS EQUIPAMENTOS E SERVICOS DE</v>
      </c>
      <c r="L98" s="15" t="str">
        <f>_xlfn.XLOOKUP(Table1[[#This Row],[PEDIDO]],'[1]BASE DE VIM''s-NF''s'!I:I,'[1]BASE DE VIM''s-NF''s'!R:R,"")</f>
        <v>15,825.00</v>
      </c>
      <c r="M98" s="14" t="s">
        <v>12</v>
      </c>
    </row>
    <row r="99" spans="1:13" x14ac:dyDescent="0.3">
      <c r="A99" s="24">
        <v>46037</v>
      </c>
      <c r="B99" s="25" t="s">
        <v>228</v>
      </c>
      <c r="C99" s="11" t="s">
        <v>25</v>
      </c>
      <c r="D99" s="17" t="s">
        <v>108</v>
      </c>
      <c r="E99" s="12" t="s">
        <v>109</v>
      </c>
      <c r="F99" s="13">
        <v>1077947029</v>
      </c>
      <c r="G99" s="14">
        <v>4501723097</v>
      </c>
      <c r="H99" s="15"/>
      <c r="I99" s="16"/>
      <c r="J99" s="15"/>
      <c r="K99" s="15" t="s">
        <v>237</v>
      </c>
      <c r="L99" s="15" t="s">
        <v>274</v>
      </c>
      <c r="M99" s="14" t="s">
        <v>236</v>
      </c>
    </row>
    <row r="100" spans="1:13" x14ac:dyDescent="0.3">
      <c r="A100" s="24">
        <v>46037</v>
      </c>
      <c r="B100" s="25" t="s">
        <v>229</v>
      </c>
      <c r="C100" s="11" t="s">
        <v>13</v>
      </c>
      <c r="D100" s="17" t="s">
        <v>110</v>
      </c>
      <c r="E100" s="12" t="s">
        <v>11</v>
      </c>
      <c r="F100" s="13">
        <v>1077954756</v>
      </c>
      <c r="G100" s="14">
        <v>4501722484</v>
      </c>
      <c r="H100" s="15">
        <f>IF(Table1[[#This Row],[PEDIDO]]&lt;&gt;"",_xlfn.XLOOKUP(Table1[[#This Row],[PEDIDO]],'[1]BASE DE VIM''s-NF''s'!I:I,'[1]BASE DE VIM''s-NF''s'!F:F,"-"),"-")</f>
        <v>2971642</v>
      </c>
      <c r="I100" s="16" t="str">
        <f>_xlfn.XLOOKUP(Table1[[#This Row],[VIM]],'[1]BASE DE VIM''s-NF''s'!F:F,'[1]BASE DE VIM''s-NF''s'!A:A,"")</f>
        <v>Lançado</v>
      </c>
      <c r="J100" s="15" t="str">
        <f>_xlfn.XLOOKUP(Table1[[#This Row],[VIM]],'[1]BASE DE VIM''s-NF''s'!F:F,'[1]BASE DE VIM''s-NF''s'!L:L,"")</f>
        <v>000000708-9</v>
      </c>
      <c r="K100" s="15" t="str">
        <f>_xlfn.XLOOKUP(Table1[[#This Row],[VIM]],'[1]BASE DE VIM''s-NF''s'!F:F,'[1]BASE DE VIM''s-NF''s'!G:G,"")</f>
        <v>ESTRUTURAS E EQUIPAMENTOS</v>
      </c>
      <c r="L100" s="15" t="str">
        <f>_xlfn.XLOOKUP(Table1[[#This Row],[PEDIDO]],'[1]BASE DE VIM''s-NF''s'!I:I,'[1]BASE DE VIM''s-NF''s'!R:R,"")</f>
        <v>3,830.00</v>
      </c>
      <c r="M100" s="14" t="s">
        <v>12</v>
      </c>
    </row>
    <row r="101" spans="1:13" x14ac:dyDescent="0.3">
      <c r="A101" s="24">
        <v>46037</v>
      </c>
      <c r="B101" s="25" t="s">
        <v>229</v>
      </c>
      <c r="C101" s="11" t="s">
        <v>13</v>
      </c>
      <c r="D101" s="17" t="s">
        <v>111</v>
      </c>
      <c r="E101" s="12" t="s">
        <v>11</v>
      </c>
      <c r="F101" s="13">
        <v>1077954924</v>
      </c>
      <c r="G101" s="14">
        <v>4501722484</v>
      </c>
      <c r="H101" s="15">
        <f>IF(Table1[[#This Row],[PEDIDO]]&lt;&gt;"",_xlfn.XLOOKUP(Table1[[#This Row],[PEDIDO]],'[1]BASE DE VIM''s-NF''s'!I:I,'[1]BASE DE VIM''s-NF''s'!F:F,"-"),"-")</f>
        <v>2971642</v>
      </c>
      <c r="I101" s="16" t="str">
        <f>_xlfn.XLOOKUP(Table1[[#This Row],[VIM]],'[1]BASE DE VIM''s-NF''s'!F:F,'[1]BASE DE VIM''s-NF''s'!A:A,"")</f>
        <v>Lançado</v>
      </c>
      <c r="J101" s="15" t="str">
        <f>_xlfn.XLOOKUP(Table1[[#This Row],[VIM]],'[1]BASE DE VIM''s-NF''s'!F:F,'[1]BASE DE VIM''s-NF''s'!L:L,"")</f>
        <v>000000708-9</v>
      </c>
      <c r="K101" s="15" t="str">
        <f>_xlfn.XLOOKUP(Table1[[#This Row],[VIM]],'[1]BASE DE VIM''s-NF''s'!F:F,'[1]BASE DE VIM''s-NF''s'!G:G,"")</f>
        <v>ESTRUTURAS E EQUIPAMENTOS</v>
      </c>
      <c r="L101" s="15" t="str">
        <f>_xlfn.XLOOKUP(Table1[[#This Row],[PEDIDO]],'[1]BASE DE VIM''s-NF''s'!I:I,'[1]BASE DE VIM''s-NF''s'!R:R,"")</f>
        <v>3,830.00</v>
      </c>
      <c r="M101" s="14" t="s">
        <v>12</v>
      </c>
    </row>
    <row r="102" spans="1:13" x14ac:dyDescent="0.3">
      <c r="A102" s="24">
        <v>46037</v>
      </c>
      <c r="B102" s="25" t="s">
        <v>227</v>
      </c>
      <c r="C102" s="11" t="s">
        <v>25</v>
      </c>
      <c r="D102" s="17" t="s">
        <v>112</v>
      </c>
      <c r="E102" s="12" t="s">
        <v>11</v>
      </c>
      <c r="F102" s="13">
        <v>1077954925</v>
      </c>
      <c r="G102" s="14">
        <v>4501723100</v>
      </c>
      <c r="H102" s="15">
        <f>IF(Table1[[#This Row],[PEDIDO]]&lt;&gt;"",_xlfn.XLOOKUP(Table1[[#This Row],[PEDIDO]],'[1]BASE DE VIM''s-NF''s'!I:I,'[1]BASE DE VIM''s-NF''s'!F:F,"-"),"-")</f>
        <v>2979420</v>
      </c>
      <c r="I102" s="16"/>
      <c r="J102" s="15" t="str">
        <f>_xlfn.XLOOKUP(Table1[[#This Row],[VIM]],'[1]BASE DE VIM''s-NF''s'!F:F,'[1]BASE DE VIM''s-NF''s'!L:L,"")</f>
        <v>000022277-1</v>
      </c>
      <c r="K102" s="15" t="str">
        <f>_xlfn.XLOOKUP(Table1[[#This Row],[VIM]],'[1]BASE DE VIM''s-NF''s'!F:F,'[1]BASE DE VIM''s-NF''s'!G:G,"")</f>
        <v>PLENA COMERCIAL ELETRICA LTDA.</v>
      </c>
      <c r="L102" s="15" t="str">
        <f>_xlfn.XLOOKUP(Table1[[#This Row],[PEDIDO]],'[1]BASE DE VIM''s-NF''s'!I:I,'[1]BASE DE VIM''s-NF''s'!R:R,"")</f>
        <v>4,720.00</v>
      </c>
      <c r="M102" s="14" t="s">
        <v>12</v>
      </c>
    </row>
    <row r="103" spans="1:13" x14ac:dyDescent="0.3">
      <c r="A103" s="24">
        <v>46043</v>
      </c>
      <c r="B103" s="25" t="s">
        <v>227</v>
      </c>
      <c r="C103" s="11" t="s">
        <v>10</v>
      </c>
      <c r="D103" s="17" t="s">
        <v>113</v>
      </c>
      <c r="E103" s="12" t="s">
        <v>11</v>
      </c>
      <c r="F103" s="13">
        <v>1078005526</v>
      </c>
      <c r="G103" s="14">
        <v>4501722773</v>
      </c>
      <c r="H103" s="15">
        <f>IF(Table1[[#This Row],[PEDIDO]]&lt;&gt;"",_xlfn.XLOOKUP(Table1[[#This Row],[PEDIDO]],'[1]BASE DE VIM''s-NF''s'!I:I,'[1]BASE DE VIM''s-NF''s'!F:F,"-"),"-")</f>
        <v>2969214</v>
      </c>
      <c r="I103" s="16" t="str">
        <f>_xlfn.XLOOKUP(Table1[[#This Row],[VIM]],'[1]BASE DE VIM''s-NF''s'!F:F,'[1]BASE DE VIM''s-NF''s'!A:A,"")</f>
        <v>Lançado</v>
      </c>
      <c r="J103" s="15" t="str">
        <f>_xlfn.XLOOKUP(Table1[[#This Row],[VIM]],'[1]BASE DE VIM''s-NF''s'!F:F,'[1]BASE DE VIM''s-NF''s'!L:L,"")</f>
        <v>001533839-3</v>
      </c>
      <c r="K103" s="15" t="str">
        <f>_xlfn.XLOOKUP(Table1[[#This Row],[VIM]],'[1]BASE DE VIM''s-NF''s'!F:F,'[1]BASE DE VIM''s-NF''s'!G:G,"")</f>
        <v>ANHANGUERA COMERCIO DE</v>
      </c>
      <c r="L103" s="15" t="str">
        <f>_xlfn.XLOOKUP(Table1[[#This Row],[PEDIDO]],'[1]BASE DE VIM''s-NF''s'!I:I,'[1]BASE DE VIM''s-NF''s'!R:R,"")</f>
        <v>1,234.10</v>
      </c>
      <c r="M103" s="14" t="s">
        <v>12</v>
      </c>
    </row>
    <row r="104" spans="1:13" x14ac:dyDescent="0.3">
      <c r="A104" s="24">
        <v>46043</v>
      </c>
      <c r="B104" s="25" t="s">
        <v>227</v>
      </c>
      <c r="C104" s="11" t="s">
        <v>10</v>
      </c>
      <c r="D104" s="17" t="s">
        <v>114</v>
      </c>
      <c r="E104" s="12" t="s">
        <v>11</v>
      </c>
      <c r="F104" s="13">
        <v>1078006488</v>
      </c>
      <c r="G104" s="14">
        <v>4501723320</v>
      </c>
      <c r="H104" s="15">
        <f>IF(Table1[[#This Row],[PEDIDO]]&lt;&gt;"",_xlfn.XLOOKUP(Table1[[#This Row],[PEDIDO]],'[1]BASE DE VIM''s-NF''s'!I:I,'[1]BASE DE VIM''s-NF''s'!F:F,"-"),"-")</f>
        <v>2960586</v>
      </c>
      <c r="I104" s="16" t="str">
        <f>_xlfn.XLOOKUP(Table1[[#This Row],[VIM]],'[1]BASE DE VIM''s-NF''s'!F:F,'[1]BASE DE VIM''s-NF''s'!A:A,"")</f>
        <v>Lançado</v>
      </c>
      <c r="J104" s="15" t="str">
        <f>_xlfn.XLOOKUP(Table1[[#This Row],[VIM]],'[1]BASE DE VIM''s-NF''s'!F:F,'[1]BASE DE VIM''s-NF''s'!L:L,"")</f>
        <v>001757455-1</v>
      </c>
      <c r="K104" s="15" t="str">
        <f>_xlfn.XLOOKUP(Table1[[#This Row],[VIM]],'[1]BASE DE VIM''s-NF''s'!F:F,'[1]BASE DE VIM''s-NF''s'!G:G,"")</f>
        <v>BUNZL EQUIPAMENTOS PARA PROTECAO</v>
      </c>
      <c r="L104" s="15" t="str">
        <f>_xlfn.XLOOKUP(Table1[[#This Row],[PEDIDO]],'[1]BASE DE VIM''s-NF''s'!I:I,'[1]BASE DE VIM''s-NF''s'!R:R,"")</f>
        <v>2,993.80</v>
      </c>
      <c r="M104" s="14" t="s">
        <v>12</v>
      </c>
    </row>
    <row r="105" spans="1:13" x14ac:dyDescent="0.3">
      <c r="A105" s="24">
        <v>46043</v>
      </c>
      <c r="B105" s="25" t="s">
        <v>228</v>
      </c>
      <c r="C105" s="11" t="s">
        <v>13</v>
      </c>
      <c r="D105" s="17" t="s">
        <v>115</v>
      </c>
      <c r="E105" s="12" t="s">
        <v>11</v>
      </c>
      <c r="F105" s="13">
        <v>1078006489</v>
      </c>
      <c r="G105" s="14">
        <v>4501723288</v>
      </c>
      <c r="H105" s="15">
        <f>IF(Table1[[#This Row],[PEDIDO]]&lt;&gt;"",_xlfn.XLOOKUP(Table1[[#This Row],[PEDIDO]],'[1]BASE DE VIM''s-NF''s'!I:I,'[1]BASE DE VIM''s-NF''s'!F:F,"-"),"-")</f>
        <v>2963473</v>
      </c>
      <c r="I105" s="16"/>
      <c r="J105" s="15" t="str">
        <f>_xlfn.XLOOKUP(Table1[[#This Row],[VIM]],'[1]BASE DE VIM''s-NF''s'!F:F,'[1]BASE DE VIM''s-NF''s'!L:L,"")</f>
        <v>000000398-9</v>
      </c>
      <c r="K105" s="15" t="str">
        <f>_xlfn.XLOOKUP(Table1[[#This Row],[VIM]],'[1]BASE DE VIM''s-NF''s'!F:F,'[1]BASE DE VIM''s-NF''s'!G:G,"")</f>
        <v>DCSPRO - AUTOMACAO PROJETOS E</v>
      </c>
      <c r="L105" s="15" t="str">
        <f>_xlfn.XLOOKUP(Table1[[#This Row],[PEDIDO]],'[1]BASE DE VIM''s-NF''s'!I:I,'[1]BASE DE VIM''s-NF''s'!R:R,"")</f>
        <v>850.00</v>
      </c>
      <c r="M105" s="14" t="s">
        <v>12</v>
      </c>
    </row>
    <row r="106" spans="1:13" x14ac:dyDescent="0.3">
      <c r="A106" s="24">
        <v>46043</v>
      </c>
      <c r="B106" s="25" t="s">
        <v>228</v>
      </c>
      <c r="C106" s="11" t="s">
        <v>10</v>
      </c>
      <c r="D106" s="17" t="s">
        <v>116</v>
      </c>
      <c r="E106" s="12" t="s">
        <v>11</v>
      </c>
      <c r="F106" s="13">
        <v>1078006490</v>
      </c>
      <c r="G106" s="14">
        <v>4501723314</v>
      </c>
      <c r="H106" s="15">
        <f>IF(Table1[[#This Row],[PEDIDO]]&lt;&gt;"",_xlfn.XLOOKUP(Table1[[#This Row],[PEDIDO]],'[1]BASE DE VIM''s-NF''s'!I:I,'[1]BASE DE VIM''s-NF''s'!F:F,"-"),"-")</f>
        <v>2961866</v>
      </c>
      <c r="I106" s="16" t="str">
        <f>_xlfn.XLOOKUP(Table1[[#This Row],[VIM]],'[1]BASE DE VIM''s-NF''s'!F:F,'[1]BASE DE VIM''s-NF''s'!A:A,"")</f>
        <v>Lançado</v>
      </c>
      <c r="J106" s="15" t="str">
        <f>_xlfn.XLOOKUP(Table1[[#This Row],[VIM]],'[1]BASE DE VIM''s-NF''s'!F:F,'[1]BASE DE VIM''s-NF''s'!L:L,"")</f>
        <v>000009218-1</v>
      </c>
      <c r="K106" s="15" t="str">
        <f>_xlfn.XLOOKUP(Table1[[#This Row],[VIM]],'[1]BASE DE VIM''s-NF''s'!F:F,'[1]BASE DE VIM''s-NF''s'!G:G,"")</f>
        <v>AIRGAS BRASIL REPRESENTACAO</v>
      </c>
      <c r="L106" s="15" t="str">
        <f>_xlfn.XLOOKUP(Table1[[#This Row],[PEDIDO]],'[1]BASE DE VIM''s-NF''s'!I:I,'[1]BASE DE VIM''s-NF''s'!R:R,"")</f>
        <v>2,232.40</v>
      </c>
      <c r="M106" s="14" t="s">
        <v>12</v>
      </c>
    </row>
    <row r="107" spans="1:13" ht="27.6" x14ac:dyDescent="0.3">
      <c r="A107" s="24">
        <v>46043</v>
      </c>
      <c r="B107" s="25" t="s">
        <v>228</v>
      </c>
      <c r="C107" s="11" t="s">
        <v>10</v>
      </c>
      <c r="D107" s="17" t="s">
        <v>117</v>
      </c>
      <c r="E107" s="12" t="s">
        <v>11</v>
      </c>
      <c r="F107" s="13">
        <v>1078020858</v>
      </c>
      <c r="G107" s="14">
        <v>4501723315</v>
      </c>
      <c r="H107" s="15">
        <f>IF(Table1[[#This Row],[PEDIDO]]&lt;&gt;"",_xlfn.XLOOKUP(Table1[[#This Row],[PEDIDO]],'[1]BASE DE VIM''s-NF''s'!I:I,'[1]BASE DE VIM''s-NF''s'!F:F,"-"),"-")</f>
        <v>2966996</v>
      </c>
      <c r="I107" s="16" t="str">
        <f>_xlfn.XLOOKUP(Table1[[#This Row],[VIM]],'[1]BASE DE VIM''s-NF''s'!F:F,'[1]BASE DE VIM''s-NF''s'!A:A,"")</f>
        <v>Lançado</v>
      </c>
      <c r="J107" s="15" t="str">
        <f>_xlfn.XLOOKUP(Table1[[#This Row],[VIM]],'[1]BASE DE VIM''s-NF''s'!F:F,'[1]BASE DE VIM''s-NF''s'!L:L,"")</f>
        <v>000010280-1</v>
      </c>
      <c r="K107" s="15" t="str">
        <f>_xlfn.XLOOKUP(Table1[[#This Row],[VIM]],'[1]BASE DE VIM''s-NF''s'!F:F,'[1]BASE DE VIM''s-NF''s'!G:G,"")</f>
        <v>USINAGEM E FERRAMENTARIA LUZ &amp; LUZ</v>
      </c>
      <c r="L107" s="15" t="str">
        <f>_xlfn.XLOOKUP(Table1[[#This Row],[PEDIDO]],'[1]BASE DE VIM''s-NF''s'!I:I,'[1]BASE DE VIM''s-NF''s'!R:R,"")</f>
        <v>2,680.00</v>
      </c>
      <c r="M107" s="14" t="s">
        <v>12</v>
      </c>
    </row>
    <row r="108" spans="1:13" ht="27.6" x14ac:dyDescent="0.3">
      <c r="A108" s="24">
        <v>46043</v>
      </c>
      <c r="B108" s="25" t="s">
        <v>228</v>
      </c>
      <c r="C108" s="11" t="s">
        <v>10</v>
      </c>
      <c r="D108" s="17" t="s">
        <v>118</v>
      </c>
      <c r="E108" s="12" t="s">
        <v>11</v>
      </c>
      <c r="F108" s="13">
        <v>1078020859</v>
      </c>
      <c r="G108" s="14">
        <v>4501723316</v>
      </c>
      <c r="H108" s="15">
        <f>IF(Table1[[#This Row],[PEDIDO]]&lt;&gt;"",_xlfn.XLOOKUP(Table1[[#This Row],[PEDIDO]],'[1]BASE DE VIM''s-NF''s'!I:I,'[1]BASE DE VIM''s-NF''s'!F:F,"-"),"-")</f>
        <v>2972081</v>
      </c>
      <c r="I108" s="16" t="str">
        <f>_xlfn.XLOOKUP(Table1[[#This Row],[VIM]],'[1]BASE DE VIM''s-NF''s'!F:F,'[1]BASE DE VIM''s-NF''s'!A:A,"")</f>
        <v>Lançado</v>
      </c>
      <c r="J108" s="15" t="str">
        <f>_xlfn.XLOOKUP(Table1[[#This Row],[VIM]],'[1]BASE DE VIM''s-NF''s'!F:F,'[1]BASE DE VIM''s-NF''s'!L:L,"")</f>
        <v>000010304-1</v>
      </c>
      <c r="K108" s="15" t="str">
        <f>_xlfn.XLOOKUP(Table1[[#This Row],[VIM]],'[1]BASE DE VIM''s-NF''s'!F:F,'[1]BASE DE VIM''s-NF''s'!G:G,"")</f>
        <v>USINAGEM E FERRAMENTARIA LUZ &amp; LUZ</v>
      </c>
      <c r="L108" s="15" t="str">
        <f>_xlfn.XLOOKUP(Table1[[#This Row],[PEDIDO]],'[1]BASE DE VIM''s-NF''s'!I:I,'[1]BASE DE VIM''s-NF''s'!R:R,"")</f>
        <v>3,120.00</v>
      </c>
      <c r="M108" s="14" t="s">
        <v>12</v>
      </c>
    </row>
    <row r="109" spans="1:13" x14ac:dyDescent="0.3">
      <c r="A109" s="24">
        <v>46044</v>
      </c>
      <c r="B109" s="25" t="s">
        <v>228</v>
      </c>
      <c r="C109" s="11" t="s">
        <v>10</v>
      </c>
      <c r="D109" s="17" t="s">
        <v>119</v>
      </c>
      <c r="E109" s="12" t="s">
        <v>11</v>
      </c>
      <c r="F109" s="13">
        <v>1078035478</v>
      </c>
      <c r="G109" s="14">
        <v>4501723317</v>
      </c>
      <c r="H109" s="15">
        <f>IF(Table1[[#This Row],[PEDIDO]]&lt;&gt;"",_xlfn.XLOOKUP(Table1[[#This Row],[PEDIDO]],'[1]BASE DE VIM''s-NF''s'!I:I,'[1]BASE DE VIM''s-NF''s'!F:F,"-"),"-")</f>
        <v>2968301</v>
      </c>
      <c r="I109" s="16" t="str">
        <f>_xlfn.XLOOKUP(Table1[[#This Row],[VIM]],'[1]BASE DE VIM''s-NF''s'!F:F,'[1]BASE DE VIM''s-NF''s'!A:A,"")</f>
        <v>Lançado</v>
      </c>
      <c r="J109" s="15" t="str">
        <f>_xlfn.XLOOKUP(Table1[[#This Row],[VIM]],'[1]BASE DE VIM''s-NF''s'!F:F,'[1]BASE DE VIM''s-NF''s'!L:L,"")</f>
        <v>000007318-1</v>
      </c>
      <c r="K109" s="15" t="str">
        <f>_xlfn.XLOOKUP(Table1[[#This Row],[VIM]],'[1]BASE DE VIM''s-NF''s'!F:F,'[1]BASE DE VIM''s-NF''s'!G:G,"")</f>
        <v>ROVAMEC USINAGEM LTDA. EPP.</v>
      </c>
      <c r="L109" s="15" t="str">
        <f>_xlfn.XLOOKUP(Table1[[#This Row],[PEDIDO]],'[1]BASE DE VIM''s-NF''s'!I:I,'[1]BASE DE VIM''s-NF''s'!R:R,"")</f>
        <v>4,800.00</v>
      </c>
      <c r="M109" s="14" t="s">
        <v>12</v>
      </c>
    </row>
    <row r="110" spans="1:13" ht="27.6" x14ac:dyDescent="0.3">
      <c r="A110" s="24">
        <v>46045</v>
      </c>
      <c r="B110" s="25" t="s">
        <v>228</v>
      </c>
      <c r="C110" s="11" t="s">
        <v>10</v>
      </c>
      <c r="D110" s="17" t="s">
        <v>120</v>
      </c>
      <c r="E110" s="12" t="s">
        <v>11</v>
      </c>
      <c r="F110" s="13">
        <v>1078050465</v>
      </c>
      <c r="G110" s="14">
        <v>4501723506</v>
      </c>
      <c r="H110" s="15">
        <f>IF(Table1[[#This Row],[PEDIDO]]&lt;&gt;"",_xlfn.XLOOKUP(Table1[[#This Row],[PEDIDO]],'[1]BASE DE VIM''s-NF''s'!I:I,'[1]BASE DE VIM''s-NF''s'!F:F,"-"),"-")</f>
        <v>2960977</v>
      </c>
      <c r="I110" s="16" t="str">
        <f>_xlfn.XLOOKUP(Table1[[#This Row],[VIM]],'[1]BASE DE VIM''s-NF''s'!F:F,'[1]BASE DE VIM''s-NF''s'!A:A,"")</f>
        <v>Lançado</v>
      </c>
      <c r="J110" s="15" t="str">
        <f>_xlfn.XLOOKUP(Table1[[#This Row],[VIM]],'[1]BASE DE VIM''s-NF''s'!F:F,'[1]BASE DE VIM''s-NF''s'!L:L,"")</f>
        <v>001520732-3</v>
      </c>
      <c r="K110" s="15" t="str">
        <f>_xlfn.XLOOKUP(Table1[[#This Row],[VIM]],'[1]BASE DE VIM''s-NF''s'!F:F,'[1]BASE DE VIM''s-NF''s'!G:G,"")</f>
        <v>ANHANGUERA COMERCIO DE</v>
      </c>
      <c r="L110" s="15" t="str">
        <f>_xlfn.XLOOKUP(Table1[[#This Row],[PEDIDO]],'[1]BASE DE VIM''s-NF''s'!I:I,'[1]BASE DE VIM''s-NF''s'!R:R,"")</f>
        <v>3,627.21</v>
      </c>
      <c r="M110" s="14" t="s">
        <v>12</v>
      </c>
    </row>
    <row r="111" spans="1:13" x14ac:dyDescent="0.3">
      <c r="A111" s="24">
        <v>46045</v>
      </c>
      <c r="B111" s="25" t="s">
        <v>229</v>
      </c>
      <c r="C111" s="11" t="s">
        <v>10</v>
      </c>
      <c r="D111" s="17" t="s">
        <v>121</v>
      </c>
      <c r="E111" s="12"/>
      <c r="F111" s="13">
        <v>1078050467</v>
      </c>
      <c r="G111" s="14">
        <v>4501723521</v>
      </c>
      <c r="H111" s="15">
        <f>IF(Table1[[#This Row],[PEDIDO]]&lt;&gt;"",_xlfn.XLOOKUP(Table1[[#This Row],[PEDIDO]],'[1]BASE DE VIM''s-NF''s'!I:I,'[1]BASE DE VIM''s-NF''s'!F:F,"-"),"-")</f>
        <v>2960832</v>
      </c>
      <c r="I111" s="16" t="str">
        <f>_xlfn.XLOOKUP(Table1[[#This Row],[VIM]],'[1]BASE DE VIM''s-NF''s'!F:F,'[1]BASE DE VIM''s-NF''s'!A:A,"")</f>
        <v>Lançado</v>
      </c>
      <c r="J111" s="15" t="str">
        <f>_xlfn.XLOOKUP(Table1[[#This Row],[VIM]],'[1]BASE DE VIM''s-NF''s'!F:F,'[1]BASE DE VIM''s-NF''s'!L:L,"")</f>
        <v>001520512-3</v>
      </c>
      <c r="K111" s="15" t="str">
        <f>_xlfn.XLOOKUP(Table1[[#This Row],[VIM]],'[1]BASE DE VIM''s-NF''s'!F:F,'[1]BASE DE VIM''s-NF''s'!G:G,"")</f>
        <v>ANHANGUERA COMERCIO DE</v>
      </c>
      <c r="L111" s="15" t="str">
        <f>_xlfn.XLOOKUP(Table1[[#This Row],[PEDIDO]],'[1]BASE DE VIM''s-NF''s'!I:I,'[1]BASE DE VIM''s-NF''s'!R:R,"")</f>
        <v>4,598.27</v>
      </c>
      <c r="M111" s="14" t="s">
        <v>12</v>
      </c>
    </row>
    <row r="112" spans="1:13" x14ac:dyDescent="0.3">
      <c r="A112" s="24">
        <v>46048</v>
      </c>
      <c r="B112" s="25"/>
      <c r="C112" s="11" t="s">
        <v>10</v>
      </c>
      <c r="D112" s="17" t="s">
        <v>122</v>
      </c>
      <c r="E112" s="12"/>
      <c r="F112" s="13">
        <v>1078076766</v>
      </c>
      <c r="G112" s="14">
        <v>4501723632</v>
      </c>
      <c r="H112" s="15">
        <f>IF(Table1[[#This Row],[PEDIDO]]&lt;&gt;"",_xlfn.XLOOKUP(Table1[[#This Row],[PEDIDO]],'[1]BASE DE VIM''s-NF''s'!I:I,'[1]BASE DE VIM''s-NF''s'!F:F,"-"),"-")</f>
        <v>2985628</v>
      </c>
      <c r="I112" s="16" t="str">
        <f>_xlfn.XLOOKUP(Table1[[#This Row],[VIM]],'[1]BASE DE VIM''s-NF''s'!F:F,'[1]BASE DE VIM''s-NF''s'!A:A,"")</f>
        <v>Lançado</v>
      </c>
      <c r="J112" s="15" t="str">
        <f>_xlfn.XLOOKUP(Table1[[#This Row],[VIM]],'[1]BASE DE VIM''s-NF''s'!F:F,'[1]BASE DE VIM''s-NF''s'!L:L,"")</f>
        <v>000023866-1</v>
      </c>
      <c r="K112" s="15" t="str">
        <f>_xlfn.XLOOKUP(Table1[[#This Row],[VIM]],'[1]BASE DE VIM''s-NF''s'!F:F,'[1]BASE DE VIM''s-NF''s'!G:G,"")</f>
        <v>ARTPLAN COMERCIAL LTDA.</v>
      </c>
      <c r="L112" s="15" t="str">
        <f>_xlfn.XLOOKUP(Table1[[#This Row],[PEDIDO]],'[1]BASE DE VIM''s-NF''s'!I:I,'[1]BASE DE VIM''s-NF''s'!R:R,"")</f>
        <v>708.00</v>
      </c>
      <c r="M112" s="14" t="s">
        <v>12</v>
      </c>
    </row>
    <row r="113" spans="1:13" x14ac:dyDescent="0.3">
      <c r="A113" s="24">
        <v>46045</v>
      </c>
      <c r="B113" s="25"/>
      <c r="C113" s="11" t="s">
        <v>10</v>
      </c>
      <c r="D113" s="17" t="s">
        <v>41</v>
      </c>
      <c r="E113" s="12"/>
      <c r="F113" s="13">
        <v>1078035750</v>
      </c>
      <c r="G113" s="14">
        <v>4501723504</v>
      </c>
      <c r="H113" s="15">
        <f>IF(Table1[[#This Row],[PEDIDO]]&lt;&gt;"",_xlfn.XLOOKUP(Table1[[#This Row],[PEDIDO]],'[1]BASE DE VIM''s-NF''s'!I:I,'[1]BASE DE VIM''s-NF''s'!F:F,"-"),"-")</f>
        <v>2961248</v>
      </c>
      <c r="I113" s="16" t="str">
        <f>_xlfn.XLOOKUP(Table1[[#This Row],[VIM]],'[1]BASE DE VIM''s-NF''s'!F:F,'[1]BASE DE VIM''s-NF''s'!A:A,"")</f>
        <v>Lançado</v>
      </c>
      <c r="J113" s="15" t="str">
        <f>_xlfn.XLOOKUP(Table1[[#This Row],[VIM]],'[1]BASE DE VIM''s-NF''s'!F:F,'[1]BASE DE VIM''s-NF''s'!L:L,"")</f>
        <v>000002510-1</v>
      </c>
      <c r="K113" s="15" t="str">
        <f>_xlfn.XLOOKUP(Table1[[#This Row],[VIM]],'[1]BASE DE VIM''s-NF''s'!F:F,'[1]BASE DE VIM''s-NF''s'!G:G,"")</f>
        <v>VERA A. BIANCHINI AFONSO ADESIVOS -</v>
      </c>
      <c r="L113" s="15" t="str">
        <f>_xlfn.XLOOKUP(Table1[[#This Row],[PEDIDO]],'[1]BASE DE VIM''s-NF''s'!I:I,'[1]BASE DE VIM''s-NF''s'!R:R,"")</f>
        <v>3,600.00</v>
      </c>
      <c r="M113" s="14" t="s">
        <v>12</v>
      </c>
    </row>
    <row r="114" spans="1:13" x14ac:dyDescent="0.3">
      <c r="A114" s="24">
        <v>46050</v>
      </c>
      <c r="B114" s="25"/>
      <c r="C114" s="11" t="s">
        <v>10</v>
      </c>
      <c r="D114" s="17" t="s">
        <v>123</v>
      </c>
      <c r="E114" s="12"/>
      <c r="F114" s="13">
        <v>1078102290</v>
      </c>
      <c r="G114" s="14">
        <v>4501723869</v>
      </c>
      <c r="H114" s="15">
        <f>IF(Table1[[#This Row],[PEDIDO]]&lt;&gt;"",_xlfn.XLOOKUP(Table1[[#This Row],[PEDIDO]],'[1]BASE DE VIM''s-NF''s'!I:I,'[1]BASE DE VIM''s-NF''s'!F:F,"-"),"-")</f>
        <v>2967487</v>
      </c>
      <c r="I114" s="16" t="str">
        <f>_xlfn.XLOOKUP(Table1[[#This Row],[VIM]],'[1]BASE DE VIM''s-NF''s'!F:F,'[1]BASE DE VIM''s-NF''s'!A:A,"")</f>
        <v>Lançado</v>
      </c>
      <c r="J114" s="15" t="str">
        <f>_xlfn.XLOOKUP(Table1[[#This Row],[VIM]],'[1]BASE DE VIM''s-NF''s'!F:F,'[1]BASE DE VIM''s-NF''s'!L:L,"")</f>
        <v>000133231-1</v>
      </c>
      <c r="K114" s="15" t="str">
        <f>_xlfn.XLOOKUP(Table1[[#This Row],[VIM]],'[1]BASE DE VIM''s-NF''s'!F:F,'[1]BASE DE VIM''s-NF''s'!G:G,"")</f>
        <v>TIAGO DE BROI EIRELI EPP.</v>
      </c>
      <c r="L114" s="15" t="str">
        <f>_xlfn.XLOOKUP(Table1[[#This Row],[PEDIDO]],'[1]BASE DE VIM''s-NF''s'!I:I,'[1]BASE DE VIM''s-NF''s'!R:R,"")</f>
        <v>4,026.56</v>
      </c>
      <c r="M114" s="14" t="s">
        <v>12</v>
      </c>
    </row>
    <row r="115" spans="1:13" ht="27.6" x14ac:dyDescent="0.3">
      <c r="A115" s="24">
        <v>46050</v>
      </c>
      <c r="B115" s="25"/>
      <c r="C115" s="11" t="s">
        <v>10</v>
      </c>
      <c r="D115" s="17" t="s">
        <v>124</v>
      </c>
      <c r="E115" s="12"/>
      <c r="F115" s="13">
        <v>1078102304</v>
      </c>
      <c r="G115" s="14">
        <v>4501723885</v>
      </c>
      <c r="H115" s="15">
        <f>IF(Table1[[#This Row],[PEDIDO]]&lt;&gt;"",_xlfn.XLOOKUP(Table1[[#This Row],[PEDIDO]],'[1]BASE DE VIM''s-NF''s'!I:I,'[1]BASE DE VIM''s-NF''s'!F:F,"-"),"-")</f>
        <v>2964021</v>
      </c>
      <c r="I115" s="16" t="str">
        <f>_xlfn.XLOOKUP(Table1[[#This Row],[VIM]],'[1]BASE DE VIM''s-NF''s'!F:F,'[1]BASE DE VIM''s-NF''s'!A:A,"")</f>
        <v>Lançado</v>
      </c>
      <c r="J115" s="15" t="str">
        <f>_xlfn.XLOOKUP(Table1[[#This Row],[VIM]],'[1]BASE DE VIM''s-NF''s'!F:F,'[1]BASE DE VIM''s-NF''s'!L:L,"")</f>
        <v>000132677-1</v>
      </c>
      <c r="K115" s="15" t="str">
        <f>_xlfn.XLOOKUP(Table1[[#This Row],[VIM]],'[1]BASE DE VIM''s-NF''s'!F:F,'[1]BASE DE VIM''s-NF''s'!G:G,"")</f>
        <v>TIAGO DE BROI EIRELI EPP.</v>
      </c>
      <c r="L115" s="15" t="str">
        <f>_xlfn.XLOOKUP(Table1[[#This Row],[PEDIDO]],'[1]BASE DE VIM''s-NF''s'!I:I,'[1]BASE DE VIM''s-NF''s'!R:R,"")</f>
        <v>1,081.19</v>
      </c>
      <c r="M115" s="14" t="s">
        <v>12</v>
      </c>
    </row>
    <row r="116" spans="1:13" x14ac:dyDescent="0.3">
      <c r="A116" s="24">
        <v>46051</v>
      </c>
      <c r="B116" s="25" t="s">
        <v>227</v>
      </c>
      <c r="C116" s="11" t="s">
        <v>10</v>
      </c>
      <c r="D116" s="17" t="s">
        <v>125</v>
      </c>
      <c r="E116" s="12"/>
      <c r="F116" s="13">
        <v>1078117596</v>
      </c>
      <c r="G116" s="14">
        <v>4501724346</v>
      </c>
      <c r="H116" s="15">
        <f>IF(Table1[[#This Row],[PEDIDO]]&lt;&gt;"",_xlfn.XLOOKUP(Table1[[#This Row],[PEDIDO]],'[1]BASE DE VIM''s-NF''s'!I:I,'[1]BASE DE VIM''s-NF''s'!F:F,"-"),"-")</f>
        <v>2963355</v>
      </c>
      <c r="I116" s="16" t="str">
        <f>_xlfn.XLOOKUP(Table1[[#This Row],[VIM]],'[1]BASE DE VIM''s-NF''s'!F:F,'[1]BASE DE VIM''s-NF''s'!A:A,"")</f>
        <v>Lançado</v>
      </c>
      <c r="J116" s="15" t="str">
        <f>_xlfn.XLOOKUP(Table1[[#This Row],[VIM]],'[1]BASE DE VIM''s-NF''s'!F:F,'[1]BASE DE VIM''s-NF''s'!L:L,"")</f>
        <v>001524608-3</v>
      </c>
      <c r="K116" s="15" t="str">
        <f>_xlfn.XLOOKUP(Table1[[#This Row],[VIM]],'[1]BASE DE VIM''s-NF''s'!F:F,'[1]BASE DE VIM''s-NF''s'!G:G,"")</f>
        <v>ANHANGUERA COMERCIO DE</v>
      </c>
      <c r="L116" s="15" t="str">
        <f>_xlfn.XLOOKUP(Table1[[#This Row],[PEDIDO]],'[1]BASE DE VIM''s-NF''s'!I:I,'[1]BASE DE VIM''s-NF''s'!R:R,"")</f>
        <v>1,021.30</v>
      </c>
      <c r="M116" s="14" t="s">
        <v>12</v>
      </c>
    </row>
    <row r="117" spans="1:13" x14ac:dyDescent="0.3">
      <c r="A117" s="24">
        <v>46051</v>
      </c>
      <c r="B117" s="25" t="s">
        <v>228</v>
      </c>
      <c r="C117" s="11" t="s">
        <v>10</v>
      </c>
      <c r="D117" s="17" t="s">
        <v>126</v>
      </c>
      <c r="E117" s="12"/>
      <c r="F117" s="13">
        <v>1078118006</v>
      </c>
      <c r="G117" s="14">
        <v>4501724225</v>
      </c>
      <c r="H117" s="15">
        <f>IF(Table1[[#This Row],[PEDIDO]]&lt;&gt;"",_xlfn.XLOOKUP(Table1[[#This Row],[PEDIDO]],'[1]BASE DE VIM''s-NF''s'!I:I,'[1]BASE DE VIM''s-NF''s'!F:F,"-"),"-")</f>
        <v>2967432</v>
      </c>
      <c r="I117" s="16" t="str">
        <f>_xlfn.XLOOKUP(Table1[[#This Row],[VIM]],'[1]BASE DE VIM''s-NF''s'!F:F,'[1]BASE DE VIM''s-NF''s'!A:A,"")</f>
        <v>Lançado</v>
      </c>
      <c r="J117" s="15" t="str">
        <f>_xlfn.XLOOKUP(Table1[[#This Row],[VIM]],'[1]BASE DE VIM''s-NF''s'!F:F,'[1]BASE DE VIM''s-NF''s'!L:L,"")</f>
        <v>000000936-1</v>
      </c>
      <c r="K117" s="15" t="str">
        <f>_xlfn.XLOOKUP(Table1[[#This Row],[VIM]],'[1]BASE DE VIM''s-NF''s'!F:F,'[1]BASE DE VIM''s-NF''s'!G:G,"")</f>
        <v>MB - COMERCIO E PRESTACAO DE SERVIC</v>
      </c>
      <c r="L117" s="15" t="str">
        <f>_xlfn.XLOOKUP(Table1[[#This Row],[PEDIDO]],'[1]BASE DE VIM''s-NF''s'!I:I,'[1]BASE DE VIM''s-NF''s'!R:R,"")</f>
        <v>1,500.00</v>
      </c>
      <c r="M117" s="14" t="s">
        <v>12</v>
      </c>
    </row>
    <row r="118" spans="1:13" x14ac:dyDescent="0.3">
      <c r="A118" s="24">
        <v>46052</v>
      </c>
      <c r="B118" s="25" t="s">
        <v>228</v>
      </c>
      <c r="C118" s="11" t="s">
        <v>10</v>
      </c>
      <c r="D118" s="17" t="s">
        <v>127</v>
      </c>
      <c r="E118" s="12"/>
      <c r="F118" s="13">
        <v>1078118132</v>
      </c>
      <c r="G118" s="14">
        <v>4501724222</v>
      </c>
      <c r="H118" s="15">
        <f>IF(Table1[[#This Row],[PEDIDO]]&lt;&gt;"",_xlfn.XLOOKUP(Table1[[#This Row],[PEDIDO]],'[1]BASE DE VIM''s-NF''s'!I:I,'[1]BASE DE VIM''s-NF''s'!F:F,"-"),"-")</f>
        <v>2962830</v>
      </c>
      <c r="I118" s="16" t="str">
        <f>_xlfn.XLOOKUP(Table1[[#This Row],[VIM]],'[1]BASE DE VIM''s-NF''s'!F:F,'[1]BASE DE VIM''s-NF''s'!A:A,"")</f>
        <v>Lançado</v>
      </c>
      <c r="J118" s="15" t="str">
        <f>_xlfn.XLOOKUP(Table1[[#This Row],[VIM]],'[1]BASE DE VIM''s-NF''s'!F:F,'[1]BASE DE VIM''s-NF''s'!L:L,"")</f>
        <v>000009228-1</v>
      </c>
      <c r="K118" s="15" t="str">
        <f>_xlfn.XLOOKUP(Table1[[#This Row],[VIM]],'[1]BASE DE VIM''s-NF''s'!F:F,'[1]BASE DE VIM''s-NF''s'!G:G,"")</f>
        <v>AIRGAS BRASIL REPRESENTACAO</v>
      </c>
      <c r="L118" s="15" t="str">
        <f>_xlfn.XLOOKUP(Table1[[#This Row],[PEDIDO]],'[1]BASE DE VIM''s-NF''s'!I:I,'[1]BASE DE VIM''s-NF''s'!R:R,"")</f>
        <v>485.60</v>
      </c>
      <c r="M118" s="14" t="s">
        <v>12</v>
      </c>
    </row>
    <row r="119" spans="1:13" x14ac:dyDescent="0.3">
      <c r="A119" s="24">
        <v>46055</v>
      </c>
      <c r="B119" s="25" t="s">
        <v>228</v>
      </c>
      <c r="C119" s="11" t="s">
        <v>10</v>
      </c>
      <c r="D119" s="17" t="s">
        <v>128</v>
      </c>
      <c r="E119" s="12"/>
      <c r="F119" s="13">
        <v>1078153574</v>
      </c>
      <c r="G119" s="14">
        <v>4501724347</v>
      </c>
      <c r="H119" s="15">
        <f>IF(Table1[[#This Row],[PEDIDO]]&lt;&gt;"",_xlfn.XLOOKUP(Table1[[#This Row],[PEDIDO]],'[1]BASE DE VIM''s-NF''s'!I:I,'[1]BASE DE VIM''s-NF''s'!F:F,"-"),"-")</f>
        <v>2993108</v>
      </c>
      <c r="I119" s="16" t="str">
        <f>_xlfn.XLOOKUP(Table1[[#This Row],[VIM]],'[1]BASE DE VIM''s-NF''s'!F:F,'[1]BASE DE VIM''s-NF''s'!A:A,"")</f>
        <v>Verificar Alíquota de Impostos (PAF_MIGO)</v>
      </c>
      <c r="J119" s="15" t="str">
        <f>_xlfn.XLOOKUP(Table1[[#This Row],[VIM]],'[1]BASE DE VIM''s-NF''s'!F:F,'[1]BASE DE VIM''s-NF''s'!L:L,"")</f>
        <v>000003436-1</v>
      </c>
      <c r="K119" s="15" t="str">
        <f>_xlfn.XLOOKUP(Table1[[#This Row],[VIM]],'[1]BASE DE VIM''s-NF''s'!F:F,'[1]BASE DE VIM''s-NF''s'!G:G,"")</f>
        <v>ZAP USINAGEM E CALDEIRARIA</v>
      </c>
      <c r="L119" s="15" t="str">
        <f>_xlfn.XLOOKUP(Table1[[#This Row],[PEDIDO]],'[1]BASE DE VIM''s-NF''s'!I:I,'[1]BASE DE VIM''s-NF''s'!R:R,"")</f>
        <v>2,932.98</v>
      </c>
      <c r="M119" s="14" t="s">
        <v>236</v>
      </c>
    </row>
    <row r="120" spans="1:13" x14ac:dyDescent="0.3">
      <c r="A120" s="24">
        <v>46055</v>
      </c>
      <c r="B120" s="25" t="s">
        <v>228</v>
      </c>
      <c r="C120" s="11" t="s">
        <v>10</v>
      </c>
      <c r="D120" s="17" t="s">
        <v>129</v>
      </c>
      <c r="E120" s="12"/>
      <c r="F120" s="13">
        <v>1078153575</v>
      </c>
      <c r="G120" s="14">
        <v>4501724517</v>
      </c>
      <c r="H120" s="15">
        <f>IF(Table1[[#This Row],[PEDIDO]]&lt;&gt;"",_xlfn.XLOOKUP(Table1[[#This Row],[PEDIDO]],'[1]BASE DE VIM''s-NF''s'!I:I,'[1]BASE DE VIM''s-NF''s'!F:F,"-"),"-")</f>
        <v>2968237</v>
      </c>
      <c r="I120" s="16" t="str">
        <f>_xlfn.XLOOKUP(Table1[[#This Row],[VIM]],'[1]BASE DE VIM''s-NF''s'!F:F,'[1]BASE DE VIM''s-NF''s'!A:A,"")</f>
        <v>Lançado</v>
      </c>
      <c r="J120" s="15" t="str">
        <f>_xlfn.XLOOKUP(Table1[[#This Row],[VIM]],'[1]BASE DE VIM''s-NF''s'!F:F,'[1]BASE DE VIM''s-NF''s'!L:L,"")</f>
        <v>000007317-1</v>
      </c>
      <c r="K120" s="15" t="str">
        <f>_xlfn.XLOOKUP(Table1[[#This Row],[VIM]],'[1]BASE DE VIM''s-NF''s'!F:F,'[1]BASE DE VIM''s-NF''s'!G:G,"")</f>
        <v>ROVAMEC USINAGEM LTDA. EPP.</v>
      </c>
      <c r="L120" s="15" t="str">
        <f>_xlfn.XLOOKUP(Table1[[#This Row],[PEDIDO]],'[1]BASE DE VIM''s-NF''s'!I:I,'[1]BASE DE VIM''s-NF''s'!R:R,"")</f>
        <v>2,700.00</v>
      </c>
      <c r="M120" s="14" t="s">
        <v>12</v>
      </c>
    </row>
    <row r="121" spans="1:13" ht="27.6" x14ac:dyDescent="0.3">
      <c r="A121" s="24">
        <v>46056</v>
      </c>
      <c r="B121" s="25" t="s">
        <v>228</v>
      </c>
      <c r="C121" s="11" t="s">
        <v>10</v>
      </c>
      <c r="D121" s="17" t="s">
        <v>130</v>
      </c>
      <c r="E121" s="12"/>
      <c r="F121" s="13">
        <v>1078172701</v>
      </c>
      <c r="G121" s="14">
        <v>4501724525</v>
      </c>
      <c r="H121" s="15">
        <f>IF(Table1[[#This Row],[PEDIDO]]&lt;&gt;"",_xlfn.XLOOKUP(Table1[[#This Row],[PEDIDO]],'[1]BASE DE VIM''s-NF''s'!I:I,'[1]BASE DE VIM''s-NF''s'!F:F,"-"),"-")</f>
        <v>2971161</v>
      </c>
      <c r="I121" s="16" t="str">
        <f>_xlfn.XLOOKUP(Table1[[#This Row],[VIM]],'[1]BASE DE VIM''s-NF''s'!F:F,'[1]BASE DE VIM''s-NF''s'!A:A,"")</f>
        <v>Lançado</v>
      </c>
      <c r="J121" s="15" t="str">
        <f>_xlfn.XLOOKUP(Table1[[#This Row],[VIM]],'[1]BASE DE VIM''s-NF''s'!F:F,'[1]BASE DE VIM''s-NF''s'!L:L,"")</f>
        <v>001538669-3</v>
      </c>
      <c r="K121" s="15" t="str">
        <f>_xlfn.XLOOKUP(Table1[[#This Row],[VIM]],'[1]BASE DE VIM''s-NF''s'!F:F,'[1]BASE DE VIM''s-NF''s'!G:G,"")</f>
        <v>ANHANGUERA COMERCIO DE</v>
      </c>
      <c r="L121" s="15" t="str">
        <f>_xlfn.XLOOKUP(Table1[[#This Row],[PEDIDO]],'[1]BASE DE VIM''s-NF''s'!I:I,'[1]BASE DE VIM''s-NF''s'!R:R,"")</f>
        <v>92.81</v>
      </c>
      <c r="M121" s="14" t="s">
        <v>12</v>
      </c>
    </row>
    <row r="122" spans="1:13" x14ac:dyDescent="0.3">
      <c r="A122" s="24">
        <v>46056</v>
      </c>
      <c r="B122" s="25" t="s">
        <v>228</v>
      </c>
      <c r="C122" s="11" t="s">
        <v>10</v>
      </c>
      <c r="D122" s="17" t="s">
        <v>131</v>
      </c>
      <c r="E122" s="12"/>
      <c r="F122" s="13">
        <v>1078172894</v>
      </c>
      <c r="G122" s="14">
        <v>4501724581</v>
      </c>
      <c r="H122" s="15">
        <f>IF(Table1[[#This Row],[PEDIDO]]&lt;&gt;"",_xlfn.XLOOKUP(Table1[[#This Row],[PEDIDO]],'[1]BASE DE VIM''s-NF''s'!I:I,'[1]BASE DE VIM''s-NF''s'!F:F,"-"),"-")</f>
        <v>2969406</v>
      </c>
      <c r="I122" s="16" t="str">
        <f>_xlfn.XLOOKUP(Table1[[#This Row],[VIM]],'[1]BASE DE VIM''s-NF''s'!F:F,'[1]BASE DE VIM''s-NF''s'!A:A,"")</f>
        <v>Lançado</v>
      </c>
      <c r="J122" s="15" t="str">
        <f>_xlfn.XLOOKUP(Table1[[#This Row],[VIM]],'[1]BASE DE VIM''s-NF''s'!F:F,'[1]BASE DE VIM''s-NF''s'!L:L,"")</f>
        <v>000080023-1</v>
      </c>
      <c r="K122" s="15" t="str">
        <f>_xlfn.XLOOKUP(Table1[[#This Row],[VIM]],'[1]BASE DE VIM''s-NF''s'!F:F,'[1]BASE DE VIM''s-NF''s'!G:G,"")</f>
        <v>ENERGYARC INDUSTRIAL LTDA.</v>
      </c>
      <c r="L122" s="15" t="str">
        <f>_xlfn.XLOOKUP(Table1[[#This Row],[PEDIDO]],'[1]BASE DE VIM''s-NF''s'!I:I,'[1]BASE DE VIM''s-NF''s'!R:R,"")</f>
        <v>706.00</v>
      </c>
      <c r="M122" s="14" t="s">
        <v>12</v>
      </c>
    </row>
    <row r="123" spans="1:13" x14ac:dyDescent="0.3">
      <c r="A123" s="24">
        <v>46057</v>
      </c>
      <c r="B123" s="25" t="s">
        <v>229</v>
      </c>
      <c r="C123" s="11" t="s">
        <v>10</v>
      </c>
      <c r="D123" s="17" t="s">
        <v>132</v>
      </c>
      <c r="E123" s="12"/>
      <c r="F123" s="13">
        <v>1078172925</v>
      </c>
      <c r="G123" s="14">
        <v>4501724641</v>
      </c>
      <c r="H123" s="15">
        <f>IF(Table1[[#This Row],[PEDIDO]]&lt;&gt;"",_xlfn.XLOOKUP(Table1[[#This Row],[PEDIDO]],'[1]BASE DE VIM''s-NF''s'!I:I,'[1]BASE DE VIM''s-NF''s'!F:F,"-"),"-")</f>
        <v>2964720</v>
      </c>
      <c r="I123" s="16" t="str">
        <f>_xlfn.XLOOKUP(Table1[[#This Row],[VIM]],'[1]BASE DE VIM''s-NF''s'!F:F,'[1]BASE DE VIM''s-NF''s'!A:A,"")</f>
        <v>Lançado</v>
      </c>
      <c r="J123" s="15" t="str">
        <f>_xlfn.XLOOKUP(Table1[[#This Row],[VIM]],'[1]BASE DE VIM''s-NF''s'!F:F,'[1]BASE DE VIM''s-NF''s'!L:L,"")</f>
        <v>000002514-1</v>
      </c>
      <c r="K123" s="15" t="str">
        <f>_xlfn.XLOOKUP(Table1[[#This Row],[VIM]],'[1]BASE DE VIM''s-NF''s'!F:F,'[1]BASE DE VIM''s-NF''s'!G:G,"")</f>
        <v>VERA A. BIANCHINI AFONSO ADESIVOS -</v>
      </c>
      <c r="L123" s="15" t="str">
        <f>_xlfn.XLOOKUP(Table1[[#This Row],[PEDIDO]],'[1]BASE DE VIM''s-NF''s'!I:I,'[1]BASE DE VIM''s-NF''s'!R:R,"")</f>
        <v>1,080.00</v>
      </c>
      <c r="M123" s="14" t="s">
        <v>12</v>
      </c>
    </row>
    <row r="124" spans="1:13" x14ac:dyDescent="0.3">
      <c r="A124" s="24">
        <v>46057</v>
      </c>
      <c r="B124" s="25" t="s">
        <v>228</v>
      </c>
      <c r="C124" s="11" t="s">
        <v>10</v>
      </c>
      <c r="D124" s="17" t="s">
        <v>133</v>
      </c>
      <c r="E124" s="12"/>
      <c r="F124" s="13">
        <v>1078188054</v>
      </c>
      <c r="G124" s="14">
        <v>4501724647</v>
      </c>
      <c r="H124" s="15">
        <f>IF(Table1[[#This Row],[PEDIDO]]&lt;&gt;"",_xlfn.XLOOKUP(Table1[[#This Row],[PEDIDO]],'[1]BASE DE VIM''s-NF''s'!I:I,'[1]BASE DE VIM''s-NF''s'!F:F,"-"),"-")</f>
        <v>2964341</v>
      </c>
      <c r="I124" s="16" t="str">
        <f>_xlfn.XLOOKUP(Table1[[#This Row],[VIM]],'[1]BASE DE VIM''s-NF''s'!F:F,'[1]BASE DE VIM''s-NF''s'!A:A,"")</f>
        <v>Lançado</v>
      </c>
      <c r="J124" s="15" t="str">
        <f>_xlfn.XLOOKUP(Table1[[#This Row],[VIM]],'[1]BASE DE VIM''s-NF''s'!F:F,'[1]BASE DE VIM''s-NF''s'!L:L,"")</f>
        <v>000193584-2</v>
      </c>
      <c r="K124" s="15" t="str">
        <f>_xlfn.XLOOKUP(Table1[[#This Row],[VIM]],'[1]BASE DE VIM''s-NF''s'!F:F,'[1]BASE DE VIM''s-NF''s'!G:G,"")</f>
        <v>JUND-ROL COMERCIO E IMPORTACAO DE</v>
      </c>
      <c r="L124" s="15" t="str">
        <f>_xlfn.XLOOKUP(Table1[[#This Row],[PEDIDO]],'[1]BASE DE VIM''s-NF''s'!I:I,'[1]BASE DE VIM''s-NF''s'!R:R,"")</f>
        <v>5,843.97</v>
      </c>
      <c r="M124" s="14" t="s">
        <v>12</v>
      </c>
    </row>
    <row r="125" spans="1:13" x14ac:dyDescent="0.3">
      <c r="A125" s="24">
        <v>46058</v>
      </c>
      <c r="B125" s="25" t="s">
        <v>228</v>
      </c>
      <c r="C125" s="11" t="s">
        <v>10</v>
      </c>
      <c r="D125" s="17" t="s">
        <v>134</v>
      </c>
      <c r="E125" s="12"/>
      <c r="F125" s="13">
        <v>1078202382</v>
      </c>
      <c r="G125" s="14">
        <v>4501724784</v>
      </c>
      <c r="H125" s="15">
        <f>IF(Table1[[#This Row],[PEDIDO]]&lt;&gt;"",_xlfn.XLOOKUP(Table1[[#This Row],[PEDIDO]],'[1]BASE DE VIM''s-NF''s'!I:I,'[1]BASE DE VIM''s-NF''s'!F:F,"-"),"-")</f>
        <v>2967760</v>
      </c>
      <c r="I125" s="16" t="str">
        <f>_xlfn.XLOOKUP(Table1[[#This Row],[VIM]],'[1]BASE DE VIM''s-NF''s'!F:F,'[1]BASE DE VIM''s-NF''s'!A:A,"")</f>
        <v>Lançado</v>
      </c>
      <c r="J125" s="15" t="str">
        <f>_xlfn.XLOOKUP(Table1[[#This Row],[VIM]],'[1]BASE DE VIM''s-NF''s'!F:F,'[1]BASE DE VIM''s-NF''s'!L:L,"")</f>
        <v>000007034-1</v>
      </c>
      <c r="K125" s="15" t="str">
        <f>_xlfn.XLOOKUP(Table1[[#This Row],[VIM]],'[1]BASE DE VIM''s-NF''s'!F:F,'[1]BASE DE VIM''s-NF''s'!G:G,"")</f>
        <v>MOTA - USINAGEM E</v>
      </c>
      <c r="L125" s="15" t="str">
        <f>_xlfn.XLOOKUP(Table1[[#This Row],[PEDIDO]],'[1]BASE DE VIM''s-NF''s'!I:I,'[1]BASE DE VIM''s-NF''s'!R:R,"")</f>
        <v>2,734.24</v>
      </c>
      <c r="M125" s="14" t="s">
        <v>12</v>
      </c>
    </row>
    <row r="126" spans="1:13" ht="27.6" x14ac:dyDescent="0.3">
      <c r="A126" s="24">
        <v>45697</v>
      </c>
      <c r="B126" s="25"/>
      <c r="C126" s="11" t="s">
        <v>10</v>
      </c>
      <c r="D126" s="17" t="s">
        <v>135</v>
      </c>
      <c r="E126" s="12"/>
      <c r="F126" s="13">
        <v>1078228155</v>
      </c>
      <c r="G126" s="14">
        <v>4501725165</v>
      </c>
      <c r="H126" s="15">
        <f>IF(Table1[[#This Row],[PEDIDO]]&lt;&gt;"",_xlfn.XLOOKUP(Table1[[#This Row],[PEDIDO]],'[1]BASE DE VIM''s-NF''s'!I:I,'[1]BASE DE VIM''s-NF''s'!F:F,"-"),"-")</f>
        <v>2972371</v>
      </c>
      <c r="I126" s="16" t="str">
        <f>_xlfn.XLOOKUP(Table1[[#This Row],[VIM]],'[1]BASE DE VIM''s-NF''s'!F:F,'[1]BASE DE VIM''s-NF''s'!A:A,"")</f>
        <v>Lançado</v>
      </c>
      <c r="J126" s="15" t="str">
        <f>_xlfn.XLOOKUP(Table1[[#This Row],[VIM]],'[1]BASE DE VIM''s-NF''s'!F:F,'[1]BASE DE VIM''s-NF''s'!L:L,"")</f>
        <v>000134134-1</v>
      </c>
      <c r="K126" s="15" t="str">
        <f>_xlfn.XLOOKUP(Table1[[#This Row],[VIM]],'[1]BASE DE VIM''s-NF''s'!F:F,'[1]BASE DE VIM''s-NF''s'!G:G,"")</f>
        <v>TIAGO DE BROI EIRELI EPP.</v>
      </c>
      <c r="L126" s="15" t="str">
        <f>_xlfn.XLOOKUP(Table1[[#This Row],[PEDIDO]],'[1]BASE DE VIM''s-NF''s'!I:I,'[1]BASE DE VIM''s-NF''s'!R:R,"")</f>
        <v>850.09</v>
      </c>
      <c r="M126" s="14" t="s">
        <v>12</v>
      </c>
    </row>
    <row r="127" spans="1:13" x14ac:dyDescent="0.3">
      <c r="A127" s="24">
        <v>45697</v>
      </c>
      <c r="B127" s="25" t="s">
        <v>229</v>
      </c>
      <c r="C127" s="11" t="s">
        <v>10</v>
      </c>
      <c r="D127" s="17" t="s">
        <v>136</v>
      </c>
      <c r="E127" s="12"/>
      <c r="F127" s="13">
        <v>1078228156</v>
      </c>
      <c r="G127" s="14">
        <v>4501725170</v>
      </c>
      <c r="H127" s="15">
        <f>IF(Table1[[#This Row],[PEDIDO]]&lt;&gt;"",_xlfn.XLOOKUP(Table1[[#This Row],[PEDIDO]],'[1]BASE DE VIM''s-NF''s'!I:I,'[1]BASE DE VIM''s-NF''s'!F:F,"-"),"-")</f>
        <v>2971619</v>
      </c>
      <c r="I127" s="16" t="str">
        <f>_xlfn.XLOOKUP(Table1[[#This Row],[VIM]],'[1]BASE DE VIM''s-NF''s'!F:F,'[1]BASE DE VIM''s-NF''s'!A:A,"")</f>
        <v>Lançado</v>
      </c>
      <c r="J127" s="15" t="str">
        <f>_xlfn.XLOOKUP(Table1[[#This Row],[VIM]],'[1]BASE DE VIM''s-NF''s'!F:F,'[1]BASE DE VIM''s-NF''s'!L:L,"")</f>
        <v>000000706-9</v>
      </c>
      <c r="K127" s="15" t="str">
        <f>_xlfn.XLOOKUP(Table1[[#This Row],[VIM]],'[1]BASE DE VIM''s-NF''s'!F:F,'[1]BASE DE VIM''s-NF''s'!G:G,"")</f>
        <v>ESTRUTURAS E EQUIPAMENTOS</v>
      </c>
      <c r="L127" s="15" t="str">
        <f>_xlfn.XLOOKUP(Table1[[#This Row],[PEDIDO]],'[1]BASE DE VIM''s-NF''s'!I:I,'[1]BASE DE VIM''s-NF''s'!R:R,"")</f>
        <v>700.00</v>
      </c>
      <c r="M127" s="14" t="s">
        <v>12</v>
      </c>
    </row>
    <row r="128" spans="1:13" x14ac:dyDescent="0.3">
      <c r="A128" s="24">
        <v>45697</v>
      </c>
      <c r="B128" s="25" t="s">
        <v>228</v>
      </c>
      <c r="C128" s="11" t="s">
        <v>10</v>
      </c>
      <c r="D128" s="17" t="s">
        <v>137</v>
      </c>
      <c r="E128" s="12"/>
      <c r="F128" s="13">
        <v>1078228157</v>
      </c>
      <c r="G128" s="14">
        <v>4501725172</v>
      </c>
      <c r="H128" s="15">
        <f>IF(Table1[[#This Row],[PEDIDO]]&lt;&gt;"",_xlfn.XLOOKUP(Table1[[#This Row],[PEDIDO]],'[1]BASE DE VIM''s-NF''s'!I:I,'[1]BASE DE VIM''s-NF''s'!F:F,"-"),"-")</f>
        <v>2971641</v>
      </c>
      <c r="I128" s="16" t="str">
        <f>_xlfn.XLOOKUP(Table1[[#This Row],[VIM]],'[1]BASE DE VIM''s-NF''s'!F:F,'[1]BASE DE VIM''s-NF''s'!A:A,"")</f>
        <v>Lançado</v>
      </c>
      <c r="J128" s="15" t="str">
        <f>_xlfn.XLOOKUP(Table1[[#This Row],[VIM]],'[1]BASE DE VIM''s-NF''s'!F:F,'[1]BASE DE VIM''s-NF''s'!L:L,"")</f>
        <v>000000707-9</v>
      </c>
      <c r="K128" s="15" t="str">
        <f>_xlfn.XLOOKUP(Table1[[#This Row],[VIM]],'[1]BASE DE VIM''s-NF''s'!F:F,'[1]BASE DE VIM''s-NF''s'!G:G,"")</f>
        <v>ESTRUTURAS E EQUIPAMENTOS</v>
      </c>
      <c r="L128" s="15" t="str">
        <f>_xlfn.XLOOKUP(Table1[[#This Row],[PEDIDO]],'[1]BASE DE VIM''s-NF''s'!I:I,'[1]BASE DE VIM''s-NF''s'!R:R,"")</f>
        <v>2,625.00</v>
      </c>
      <c r="M128" s="14" t="s">
        <v>12</v>
      </c>
    </row>
    <row r="129" spans="1:13" ht="27.6" x14ac:dyDescent="0.3">
      <c r="A129" s="24">
        <v>45697</v>
      </c>
      <c r="B129" s="25" t="s">
        <v>228</v>
      </c>
      <c r="C129" s="11" t="s">
        <v>10</v>
      </c>
      <c r="D129" s="17" t="s">
        <v>138</v>
      </c>
      <c r="E129" s="12"/>
      <c r="F129" s="13">
        <v>1078228903</v>
      </c>
      <c r="G129" s="14">
        <v>4501725168</v>
      </c>
      <c r="H129" s="15">
        <f>IF(Table1[[#This Row],[PEDIDO]]&lt;&gt;"",_xlfn.XLOOKUP(Table1[[#This Row],[PEDIDO]],'[1]BASE DE VIM''s-NF''s'!I:I,'[1]BASE DE VIM''s-NF''s'!F:F,"-"),"-")</f>
        <v>2966327</v>
      </c>
      <c r="I129" s="16" t="str">
        <f>_xlfn.XLOOKUP(Table1[[#This Row],[VIM]],'[1]BASE DE VIM''s-NF''s'!F:F,'[1]BASE DE VIM''s-NF''s'!A:A,"")</f>
        <v>Lançado</v>
      </c>
      <c r="J129" s="15" t="str">
        <f>_xlfn.XLOOKUP(Table1[[#This Row],[VIM]],'[1]BASE DE VIM''s-NF''s'!F:F,'[1]BASE DE VIM''s-NF''s'!L:L,"")</f>
        <v>001529672-3</v>
      </c>
      <c r="K129" s="15" t="str">
        <f>_xlfn.XLOOKUP(Table1[[#This Row],[VIM]],'[1]BASE DE VIM''s-NF''s'!F:F,'[1]BASE DE VIM''s-NF''s'!G:G,"")</f>
        <v>ANHANGUERA COMERCIO DE</v>
      </c>
      <c r="L129" s="15" t="str">
        <f>_xlfn.XLOOKUP(Table1[[#This Row],[PEDIDO]],'[1]BASE DE VIM''s-NF''s'!I:I,'[1]BASE DE VIM''s-NF''s'!R:R,"")</f>
        <v>2,013.87</v>
      </c>
      <c r="M129" s="14" t="s">
        <v>12</v>
      </c>
    </row>
    <row r="130" spans="1:13" x14ac:dyDescent="0.3">
      <c r="A130" s="24">
        <v>45697</v>
      </c>
      <c r="B130" s="25"/>
      <c r="C130" s="11" t="s">
        <v>10</v>
      </c>
      <c r="D130" s="17" t="s">
        <v>139</v>
      </c>
      <c r="E130" s="12"/>
      <c r="F130" s="13">
        <v>1078268110</v>
      </c>
      <c r="G130" s="14">
        <v>4501725466</v>
      </c>
      <c r="H130" s="15">
        <f>IF(Table1[[#This Row],[PEDIDO]]&lt;&gt;"",_xlfn.XLOOKUP(Table1[[#This Row],[PEDIDO]],'[1]BASE DE VIM''s-NF''s'!I:I,'[1]BASE DE VIM''s-NF''s'!F:F,"-"),"-")</f>
        <v>2970123</v>
      </c>
      <c r="I130" s="16" t="str">
        <f>_xlfn.XLOOKUP(Table1[[#This Row],[VIM]],'[1]BASE DE VIM''s-NF''s'!F:F,'[1]BASE DE VIM''s-NF''s'!A:A,"")</f>
        <v>Lançado</v>
      </c>
      <c r="J130" s="15" t="str">
        <f>_xlfn.XLOOKUP(Table1[[#This Row],[VIM]],'[1]BASE DE VIM''s-NF''s'!F:F,'[1]BASE DE VIM''s-NF''s'!L:L,"")</f>
        <v>000055810-1</v>
      </c>
      <c r="K130" s="15" t="str">
        <f>_xlfn.XLOOKUP(Table1[[#This Row],[VIM]],'[1]BASE DE VIM''s-NF''s'!F:F,'[1]BASE DE VIM''s-NF''s'!G:G,"")</f>
        <v>OXIGENIO JUNDIAI COML. DE GASES</v>
      </c>
      <c r="L130" s="15" t="str">
        <f>_xlfn.XLOOKUP(Table1[[#This Row],[PEDIDO]],'[1]BASE DE VIM''s-NF''s'!I:I,'[1]BASE DE VIM''s-NF''s'!R:R,"")</f>
        <v>2,545.00</v>
      </c>
      <c r="M130" s="14" t="s">
        <v>12</v>
      </c>
    </row>
    <row r="131" spans="1:13" x14ac:dyDescent="0.3">
      <c r="A131" s="24">
        <v>45697</v>
      </c>
      <c r="B131" s="25"/>
      <c r="C131" s="11" t="s">
        <v>10</v>
      </c>
      <c r="D131" s="17" t="s">
        <v>140</v>
      </c>
      <c r="E131" s="12"/>
      <c r="F131" s="13">
        <v>1078268363</v>
      </c>
      <c r="G131" s="14">
        <v>4501725833</v>
      </c>
      <c r="H131" s="15">
        <f>IF(Table1[[#This Row],[PEDIDO]]&lt;&gt;"",_xlfn.XLOOKUP(Table1[[#This Row],[PEDIDO]],'[1]BASE DE VIM''s-NF''s'!I:I,'[1]BASE DE VIM''s-NF''s'!F:F,"-"),"-")</f>
        <v>2970987</v>
      </c>
      <c r="I131" s="16" t="str">
        <f>_xlfn.XLOOKUP(Table1[[#This Row],[VIM]],'[1]BASE DE VIM''s-NF''s'!F:F,'[1]BASE DE VIM''s-NF''s'!A:A,"")</f>
        <v>Lançado</v>
      </c>
      <c r="J131" s="15" t="str">
        <f>_xlfn.XLOOKUP(Table1[[#This Row],[VIM]],'[1]BASE DE VIM''s-NF''s'!F:F,'[1]BASE DE VIM''s-NF''s'!L:L,"")</f>
        <v>000133837-1</v>
      </c>
      <c r="K131" s="15" t="str">
        <f>_xlfn.XLOOKUP(Table1[[#This Row],[VIM]],'[1]BASE DE VIM''s-NF''s'!F:F,'[1]BASE DE VIM''s-NF''s'!G:G,"")</f>
        <v>TIAGO DE BROI EIRELI EPP.</v>
      </c>
      <c r="L131" s="15" t="str">
        <f>_xlfn.XLOOKUP(Table1[[#This Row],[PEDIDO]],'[1]BASE DE VIM''s-NF''s'!I:I,'[1]BASE DE VIM''s-NF''s'!R:R,"")</f>
        <v>1,869.42</v>
      </c>
      <c r="M131" s="14" t="s">
        <v>12</v>
      </c>
    </row>
    <row r="132" spans="1:13" x14ac:dyDescent="0.3">
      <c r="A132" s="24">
        <v>46066</v>
      </c>
      <c r="B132" s="25"/>
      <c r="C132" s="11" t="s">
        <v>10</v>
      </c>
      <c r="D132" s="17" t="s">
        <v>141</v>
      </c>
      <c r="E132" s="12"/>
      <c r="F132" s="13">
        <v>1078282579</v>
      </c>
      <c r="G132" s="14">
        <v>4501725873</v>
      </c>
      <c r="H132" s="15">
        <f>IF(Table1[[#This Row],[PEDIDO]]&lt;&gt;"",_xlfn.XLOOKUP(Table1[[#This Row],[PEDIDO]],'[1]BASE DE VIM''s-NF''s'!I:I,'[1]BASE DE VIM''s-NF''s'!F:F,"-"),"-")</f>
        <v>2979100</v>
      </c>
      <c r="I132" s="16"/>
      <c r="J132" s="15" t="str">
        <f>_xlfn.XLOOKUP(Table1[[#This Row],[VIM]],'[1]BASE DE VIM''s-NF''s'!F:F,'[1]BASE DE VIM''s-NF''s'!L:L,"")</f>
        <v>000007348-1</v>
      </c>
      <c r="K132" s="15" t="str">
        <f>_xlfn.XLOOKUP(Table1[[#This Row],[VIM]],'[1]BASE DE VIM''s-NF''s'!F:F,'[1]BASE DE VIM''s-NF''s'!G:G,"")</f>
        <v>ROVAMEC USINAGEM LTDA. EPP.</v>
      </c>
      <c r="L132" s="15" t="str">
        <f>_xlfn.XLOOKUP(Table1[[#This Row],[PEDIDO]],'[1]BASE DE VIM''s-NF''s'!I:I,'[1]BASE DE VIM''s-NF''s'!R:R,"")</f>
        <v>5,445.00</v>
      </c>
      <c r="M132" s="14" t="s">
        <v>12</v>
      </c>
    </row>
    <row r="133" spans="1:13" x14ac:dyDescent="0.3">
      <c r="A133" s="24">
        <v>46066</v>
      </c>
      <c r="B133" s="25" t="s">
        <v>228</v>
      </c>
      <c r="C133" s="11" t="s">
        <v>10</v>
      </c>
      <c r="D133" s="17" t="s">
        <v>142</v>
      </c>
      <c r="E133" s="12"/>
      <c r="F133" s="13">
        <v>1078296827</v>
      </c>
      <c r="G133" s="14">
        <v>4501726126</v>
      </c>
      <c r="H133" s="15">
        <f>IF(Table1[[#This Row],[PEDIDO]]&lt;&gt;"",_xlfn.XLOOKUP(Table1[[#This Row],[PEDIDO]],'[1]BASE DE VIM''s-NF''s'!I:I,'[1]BASE DE VIM''s-NF''s'!F:F,"-"),"-")</f>
        <v>2967736</v>
      </c>
      <c r="I133" s="16" t="str">
        <f>_xlfn.XLOOKUP(Table1[[#This Row],[VIM]],'[1]BASE DE VIM''s-NF''s'!F:F,'[1]BASE DE VIM''s-NF''s'!A:A,"")</f>
        <v>Lançado</v>
      </c>
      <c r="J133" s="15" t="str">
        <f>_xlfn.XLOOKUP(Table1[[#This Row],[VIM]],'[1]BASE DE VIM''s-NF''s'!F:F,'[1]BASE DE VIM''s-NF''s'!L:L,"")</f>
        <v>001532550-3</v>
      </c>
      <c r="K133" s="15" t="str">
        <f>_xlfn.XLOOKUP(Table1[[#This Row],[VIM]],'[1]BASE DE VIM''s-NF''s'!F:F,'[1]BASE DE VIM''s-NF''s'!G:G,"")</f>
        <v>ANHANGUERA COMERCIO DE</v>
      </c>
      <c r="L133" s="15" t="str">
        <f>_xlfn.XLOOKUP(Table1[[#This Row],[PEDIDO]],'[1]BASE DE VIM''s-NF''s'!I:I,'[1]BASE DE VIM''s-NF''s'!R:R,"")</f>
        <v>1,581.40</v>
      </c>
      <c r="M133" s="14" t="s">
        <v>12</v>
      </c>
    </row>
    <row r="134" spans="1:13" x14ac:dyDescent="0.3">
      <c r="A134" s="24">
        <v>46066</v>
      </c>
      <c r="B134" s="25" t="s">
        <v>227</v>
      </c>
      <c r="C134" s="11" t="s">
        <v>143</v>
      </c>
      <c r="D134" s="17" t="s">
        <v>144</v>
      </c>
      <c r="E134" s="12" t="s">
        <v>109</v>
      </c>
      <c r="F134" s="13">
        <v>1078296994</v>
      </c>
      <c r="G134" s="14">
        <v>4501726231</v>
      </c>
      <c r="H134" s="15">
        <f>IF(Table1[[#This Row],[PEDIDO]]&lt;&gt;"",_xlfn.XLOOKUP(Table1[[#This Row],[PEDIDO]],'[1]BASE DE VIM''s-NF''s'!I:I,'[1]BASE DE VIM''s-NF''s'!F:F,"-"),"-")</f>
        <v>2985041</v>
      </c>
      <c r="I134" s="16"/>
      <c r="J134" s="15" t="str">
        <f>_xlfn.XLOOKUP(Table1[[#This Row],[VIM]],'[1]BASE DE VIM''s-NF''s'!F:F,'[1]BASE DE VIM''s-NF''s'!L:L,"")</f>
        <v>000059776-1</v>
      </c>
      <c r="K134" s="15" t="str">
        <f>_xlfn.XLOOKUP(Table1[[#This Row],[VIM]],'[1]BASE DE VIM''s-NF''s'!F:F,'[1]BASE DE VIM''s-NF''s'!G:G,"")</f>
        <v>INSTRUCAMP INSTRUMENTOS DE</v>
      </c>
      <c r="L134" s="15" t="str">
        <f>_xlfn.XLOOKUP(Table1[[#This Row],[PEDIDO]],'[1]BASE DE VIM''s-NF''s'!I:I,'[1]BASE DE VIM''s-NF''s'!R:R,"")</f>
        <v>50,000.00</v>
      </c>
      <c r="M134" s="14" t="s">
        <v>12</v>
      </c>
    </row>
    <row r="135" spans="1:13" ht="27.6" x14ac:dyDescent="0.3">
      <c r="A135" s="24">
        <v>46066</v>
      </c>
      <c r="B135" s="25" t="s">
        <v>228</v>
      </c>
      <c r="C135" s="11" t="s">
        <v>25</v>
      </c>
      <c r="D135" s="17" t="s">
        <v>145</v>
      </c>
      <c r="E135" s="12" t="s">
        <v>109</v>
      </c>
      <c r="F135" s="13">
        <v>1078297007</v>
      </c>
      <c r="G135" s="14">
        <v>4501726204</v>
      </c>
      <c r="H135" s="15">
        <f>IF(Table1[[#This Row],[PEDIDO]]&lt;&gt;"",_xlfn.XLOOKUP(Table1[[#This Row],[PEDIDO]],'[1]BASE DE VIM''s-NF''s'!I:I,'[1]BASE DE VIM''s-NF''s'!F:F,"-"),"-")</f>
        <v>2979482</v>
      </c>
      <c r="I135" s="16" t="str">
        <f>_xlfn.XLOOKUP(Table1[[#This Row],[VIM]],'[1]BASE DE VIM''s-NF''s'!F:F,'[1]BASE DE VIM''s-NF''s'!A:A,"")</f>
        <v>Lançado</v>
      </c>
      <c r="J135" s="15" t="str">
        <f>_xlfn.XLOOKUP(Table1[[#This Row],[VIM]],'[1]BASE DE VIM''s-NF''s'!F:F,'[1]BASE DE VIM''s-NF''s'!L:L,"")</f>
        <v>000010368-1</v>
      </c>
      <c r="K135" s="15" t="str">
        <f>_xlfn.XLOOKUP(Table1[[#This Row],[VIM]],'[1]BASE DE VIM''s-NF''s'!F:F,'[1]BASE DE VIM''s-NF''s'!G:G,"")</f>
        <v>USINAGEM E FERRAMENTARIA LUZ &amp; LUZ</v>
      </c>
      <c r="L135" s="15" t="str">
        <f>_xlfn.XLOOKUP(Table1[[#This Row],[PEDIDO]],'[1]BASE DE VIM''s-NF''s'!I:I,'[1]BASE DE VIM''s-NF''s'!R:R,"")</f>
        <v>32,000.04</v>
      </c>
      <c r="M135" s="14" t="s">
        <v>12</v>
      </c>
    </row>
    <row r="136" spans="1:13" x14ac:dyDescent="0.3">
      <c r="A136" s="24">
        <v>46066</v>
      </c>
      <c r="B136" s="25" t="s">
        <v>228</v>
      </c>
      <c r="C136" s="11" t="s">
        <v>25</v>
      </c>
      <c r="D136" s="17" t="s">
        <v>146</v>
      </c>
      <c r="E136" s="12" t="s">
        <v>109</v>
      </c>
      <c r="F136" s="13">
        <v>1078297011</v>
      </c>
      <c r="G136" s="14">
        <v>4501726208</v>
      </c>
      <c r="H136" s="15">
        <f>IF(Table1[[#This Row],[PEDIDO]]&lt;&gt;"",_xlfn.XLOOKUP(Table1[[#This Row],[PEDIDO]],'[1]BASE DE VIM''s-NF''s'!I:I,'[1]BASE DE VIM''s-NF''s'!F:F,"-"),"-")</f>
        <v>2992781</v>
      </c>
      <c r="I136" s="16" t="str">
        <f>_xlfn.XLOOKUP(Table1[[#This Row],[VIM]],'[1]BASE DE VIM''s-NF''s'!F:F,'[1]BASE DE VIM''s-NF''s'!A:A,"")</f>
        <v>Lançado</v>
      </c>
      <c r="J136" s="15" t="str">
        <f>_xlfn.XLOOKUP(Table1[[#This Row],[VIM]],'[1]BASE DE VIM''s-NF''s'!F:F,'[1]BASE DE VIM''s-NF''s'!L:L,"")</f>
        <v>000048218-2</v>
      </c>
      <c r="K136" s="15" t="str">
        <f>_xlfn.XLOOKUP(Table1[[#This Row],[VIM]],'[1]BASE DE VIM''s-NF''s'!F:F,'[1]BASE DE VIM''s-NF''s'!G:G,"")</f>
        <v>EDWARDS VACUO LTDA.</v>
      </c>
      <c r="L136" s="15" t="str">
        <f>_xlfn.XLOOKUP(Table1[[#This Row],[PEDIDO]],'[1]BASE DE VIM''s-NF''s'!I:I,'[1]BASE DE VIM''s-NF''s'!R:R,"")</f>
        <v>15,162.78</v>
      </c>
      <c r="M136" s="14" t="s">
        <v>12</v>
      </c>
    </row>
    <row r="137" spans="1:13" x14ac:dyDescent="0.3">
      <c r="A137" s="24">
        <v>46066</v>
      </c>
      <c r="B137" s="25" t="s">
        <v>228</v>
      </c>
      <c r="C137" s="11" t="s">
        <v>25</v>
      </c>
      <c r="D137" s="17" t="s">
        <v>147</v>
      </c>
      <c r="E137" s="12" t="s">
        <v>109</v>
      </c>
      <c r="F137" s="13">
        <v>1078297012</v>
      </c>
      <c r="G137" s="14">
        <v>4501726220</v>
      </c>
      <c r="H137" s="15">
        <f>IF(Table1[[#This Row],[PEDIDO]]&lt;&gt;"",_xlfn.XLOOKUP(Table1[[#This Row],[PEDIDO]],'[1]BASE DE VIM''s-NF''s'!I:I,'[1]BASE DE VIM''s-NF''s'!F:F,"-"),"-")</f>
        <v>2968159</v>
      </c>
      <c r="I137" s="16" t="str">
        <f>_xlfn.XLOOKUP(Table1[[#This Row],[VIM]],'[1]BASE DE VIM''s-NF''s'!F:F,'[1]BASE DE VIM''s-NF''s'!A:A,"")</f>
        <v>Lançado</v>
      </c>
      <c r="J137" s="15" t="str">
        <f>_xlfn.XLOOKUP(Table1[[#This Row],[VIM]],'[1]BASE DE VIM''s-NF''s'!F:F,'[1]BASE DE VIM''s-NF''s'!L:L,"")</f>
        <v>000079927-5</v>
      </c>
      <c r="K137" s="15" t="str">
        <f>_xlfn.XLOOKUP(Table1[[#This Row],[VIM]],'[1]BASE DE VIM''s-NF''s'!F:F,'[1]BASE DE VIM''s-NF''s'!G:G,"")</f>
        <v>FROMM SISTEMAS DE EMBALAGENS LTDA.</v>
      </c>
      <c r="L137" s="15" t="str">
        <f>_xlfn.XLOOKUP(Table1[[#This Row],[PEDIDO]],'[1]BASE DE VIM''s-NF''s'!I:I,'[1]BASE DE VIM''s-NF''s'!R:R,"")</f>
        <v>52,517.50</v>
      </c>
      <c r="M137" s="14" t="s">
        <v>12</v>
      </c>
    </row>
    <row r="138" spans="1:13" x14ac:dyDescent="0.3">
      <c r="A138" s="24">
        <v>46066</v>
      </c>
      <c r="B138" s="25" t="s">
        <v>228</v>
      </c>
      <c r="C138" s="11" t="s">
        <v>25</v>
      </c>
      <c r="D138" s="17" t="s">
        <v>148</v>
      </c>
      <c r="E138" s="12" t="s">
        <v>109</v>
      </c>
      <c r="F138" s="13">
        <v>1078297032</v>
      </c>
      <c r="G138" s="14">
        <v>4501726223</v>
      </c>
      <c r="H138" s="15">
        <f>IF(Table1[[#This Row],[PEDIDO]]&lt;&gt;"",_xlfn.XLOOKUP(Table1[[#This Row],[PEDIDO]],'[1]BASE DE VIM''s-NF''s'!I:I,'[1]BASE DE VIM''s-NF''s'!F:F,"-"),"-")</f>
        <v>2984617</v>
      </c>
      <c r="I138" s="16"/>
      <c r="J138" s="15" t="str">
        <f>_xlfn.XLOOKUP(Table1[[#This Row],[VIM]],'[1]BASE DE VIM''s-NF''s'!F:F,'[1]BASE DE VIM''s-NF''s'!L:L,"")</f>
        <v>000022381-1</v>
      </c>
      <c r="K138" s="15" t="str">
        <f>_xlfn.XLOOKUP(Table1[[#This Row],[VIM]],'[1]BASE DE VIM''s-NF''s'!F:F,'[1]BASE DE VIM''s-NF''s'!G:G,"")</f>
        <v>PLENA COMERCIAL ELETRICA LTDA.</v>
      </c>
      <c r="L138" s="15" t="str">
        <f>_xlfn.XLOOKUP(Table1[[#This Row],[PEDIDO]],'[1]BASE DE VIM''s-NF''s'!I:I,'[1]BASE DE VIM''s-NF''s'!R:R,"")</f>
        <v>12,931.50</v>
      </c>
      <c r="M138" s="14" t="s">
        <v>12</v>
      </c>
    </row>
    <row r="139" spans="1:13" x14ac:dyDescent="0.3">
      <c r="A139" s="24">
        <v>46066</v>
      </c>
      <c r="B139" s="25"/>
      <c r="C139" s="11" t="s">
        <v>25</v>
      </c>
      <c r="D139" s="17" t="s">
        <v>149</v>
      </c>
      <c r="E139" s="12" t="s">
        <v>109</v>
      </c>
      <c r="F139" s="13">
        <v>1078297033</v>
      </c>
      <c r="G139" s="14">
        <v>4501726226</v>
      </c>
      <c r="H139" s="15">
        <f>IF(Table1[[#This Row],[PEDIDO]]&lt;&gt;"",_xlfn.XLOOKUP(Table1[[#This Row],[PEDIDO]],'[1]BASE DE VIM''s-NF''s'!I:I,'[1]BASE DE VIM''s-NF''s'!F:F,"-"),"-")</f>
        <v>2973013</v>
      </c>
      <c r="I139" s="16" t="str">
        <f>_xlfn.XLOOKUP(Table1[[#This Row],[VIM]],'[1]BASE DE VIM''s-NF''s'!F:F,'[1]BASE DE VIM''s-NF''s'!A:A,"")</f>
        <v>Lançado</v>
      </c>
      <c r="J139" s="15" t="str">
        <f>_xlfn.XLOOKUP(Table1[[#This Row],[VIM]],'[1]BASE DE VIM''s-NF''s'!F:F,'[1]BASE DE VIM''s-NF''s'!L:L,"")</f>
        <v>000029609-3</v>
      </c>
      <c r="K139" s="15" t="str">
        <f>_xlfn.XLOOKUP(Table1[[#This Row],[VIM]],'[1]BASE DE VIM''s-NF''s'!F:F,'[1]BASE DE VIM''s-NF''s'!G:G,"")</f>
        <v>MEGABRAS INDUSTRIA ELETRONICA LTDA.</v>
      </c>
      <c r="L139" s="15" t="str">
        <f>_xlfn.XLOOKUP(Table1[[#This Row],[PEDIDO]],'[1]BASE DE VIM''s-NF''s'!I:I,'[1]BASE DE VIM''s-NF''s'!R:R,"")</f>
        <v>20,587.84</v>
      </c>
      <c r="M139" s="14" t="s">
        <v>12</v>
      </c>
    </row>
    <row r="140" spans="1:13" ht="27.6" x14ac:dyDescent="0.3">
      <c r="A140" s="24">
        <v>46073</v>
      </c>
      <c r="B140" s="25" t="s">
        <v>228</v>
      </c>
      <c r="C140" s="11" t="s">
        <v>10</v>
      </c>
      <c r="D140" s="17" t="s">
        <v>150</v>
      </c>
      <c r="E140" s="12" t="s">
        <v>109</v>
      </c>
      <c r="F140" s="13">
        <v>1078318023</v>
      </c>
      <c r="G140" s="14">
        <v>4501729365</v>
      </c>
      <c r="H140" s="15"/>
      <c r="I140" s="16"/>
      <c r="J140" s="15">
        <f>_xlfn.XLOOKUP(Table1[[#This Row],[VIM]],'[1]BASE DE VIM''s-NF''s'!F:F,'[1]BASE DE VIM''s-NF''s'!L:L,"")</f>
        <v>0</v>
      </c>
      <c r="K140" s="15" t="s">
        <v>284</v>
      </c>
      <c r="L140" s="15" t="s">
        <v>240</v>
      </c>
      <c r="M140" s="14" t="s">
        <v>236</v>
      </c>
    </row>
    <row r="141" spans="1:13" x14ac:dyDescent="0.3">
      <c r="A141" s="24">
        <v>46073</v>
      </c>
      <c r="B141" s="25" t="s">
        <v>229</v>
      </c>
      <c r="C141" s="11" t="s">
        <v>10</v>
      </c>
      <c r="D141" s="17" t="s">
        <v>151</v>
      </c>
      <c r="E141" s="12" t="s">
        <v>109</v>
      </c>
      <c r="F141" s="13">
        <v>1078318034</v>
      </c>
      <c r="G141" s="14">
        <v>4501727587</v>
      </c>
      <c r="H141" s="15">
        <f>IF(Table1[[#This Row],[PEDIDO]]&lt;&gt;"",_xlfn.XLOOKUP(Table1[[#This Row],[PEDIDO]],'[1]BASE DE VIM''s-NF''s'!I:I,'[1]BASE DE VIM''s-NF''s'!F:F,"-"),"-")</f>
        <v>2975087</v>
      </c>
      <c r="I141" s="16" t="str">
        <f>_xlfn.XLOOKUP(Table1[[#This Row],[VIM]],'[1]BASE DE VIM''s-NF''s'!F:F,'[1]BASE DE VIM''s-NF''s'!A:A,"")</f>
        <v>Lançado</v>
      </c>
      <c r="J141" s="15" t="str">
        <f>_xlfn.XLOOKUP(Table1[[#This Row],[VIM]],'[1]BASE DE VIM''s-NF''s'!F:F,'[1]BASE DE VIM''s-NF''s'!L:L,"")</f>
        <v>000002517-1</v>
      </c>
      <c r="K141" s="15" t="str">
        <f>_xlfn.XLOOKUP(Table1[[#This Row],[VIM]],'[1]BASE DE VIM''s-NF''s'!F:F,'[1]BASE DE VIM''s-NF''s'!G:G,"")</f>
        <v>VERA A. BIANCHINI AFONSO ADESIVOS -</v>
      </c>
      <c r="L141" s="15" t="str">
        <f>_xlfn.XLOOKUP(Table1[[#This Row],[PEDIDO]],'[1]BASE DE VIM''s-NF''s'!I:I,'[1]BASE DE VIM''s-NF''s'!R:R,"")</f>
        <v>495.00</v>
      </c>
      <c r="M141" s="14" t="s">
        <v>12</v>
      </c>
    </row>
    <row r="142" spans="1:13" ht="27.6" x14ac:dyDescent="0.3">
      <c r="A142" s="24">
        <v>46073</v>
      </c>
      <c r="B142" s="25" t="s">
        <v>229</v>
      </c>
      <c r="C142" s="11" t="s">
        <v>10</v>
      </c>
      <c r="D142" s="17" t="s">
        <v>152</v>
      </c>
      <c r="E142" s="12" t="s">
        <v>109</v>
      </c>
      <c r="F142" s="13">
        <v>1078347238</v>
      </c>
      <c r="G142" s="14">
        <v>4501727542</v>
      </c>
      <c r="H142" s="15">
        <f>IF(Table1[[#This Row],[PEDIDO]]&lt;&gt;"",_xlfn.XLOOKUP(Table1[[#This Row],[PEDIDO]],'[1]BASE DE VIM''s-NF''s'!I:I,'[1]BASE DE VIM''s-NF''s'!F:F,"-"),"-")</f>
        <v>2972362</v>
      </c>
      <c r="I142" s="16" t="str">
        <f>_xlfn.XLOOKUP(Table1[[#This Row],[VIM]],'[1]BASE DE VIM''s-NF''s'!F:F,'[1]BASE DE VIM''s-NF''s'!A:A,"")</f>
        <v>Lançado</v>
      </c>
      <c r="J142" s="15" t="str">
        <f>_xlfn.XLOOKUP(Table1[[#This Row],[VIM]],'[1]BASE DE VIM''s-NF''s'!F:F,'[1]BASE DE VIM''s-NF''s'!L:L,"")</f>
        <v>000134117-1</v>
      </c>
      <c r="K142" s="15" t="str">
        <f>_xlfn.XLOOKUP(Table1[[#This Row],[VIM]],'[1]BASE DE VIM''s-NF''s'!F:F,'[1]BASE DE VIM''s-NF''s'!G:G,"")</f>
        <v>TIAGO DE BROI EIRELI EPP.</v>
      </c>
      <c r="L142" s="15" t="str">
        <f>_xlfn.XLOOKUP(Table1[[#This Row],[PEDIDO]],'[1]BASE DE VIM''s-NF''s'!I:I,'[1]BASE DE VIM''s-NF''s'!R:R,"")</f>
        <v>588.40</v>
      </c>
      <c r="M142" s="14" t="s">
        <v>12</v>
      </c>
    </row>
    <row r="143" spans="1:13" x14ac:dyDescent="0.3">
      <c r="A143" s="24">
        <v>46080</v>
      </c>
      <c r="B143" s="25" t="s">
        <v>227</v>
      </c>
      <c r="C143" s="11" t="s">
        <v>10</v>
      </c>
      <c r="D143" s="17" t="s">
        <v>153</v>
      </c>
      <c r="E143" s="12" t="s">
        <v>109</v>
      </c>
      <c r="F143" s="13">
        <v>1078382113</v>
      </c>
      <c r="G143" s="14">
        <v>4501728415</v>
      </c>
      <c r="H143" s="15">
        <f>IF(Table1[[#This Row],[PEDIDO]]&lt;&gt;"",_xlfn.XLOOKUP(Table1[[#This Row],[PEDIDO]],'[1]BASE DE VIM''s-NF''s'!I:I,'[1]BASE DE VIM''s-NF''s'!F:F,"-"),"-")</f>
        <v>2972583</v>
      </c>
      <c r="I143" s="16" t="str">
        <f>_xlfn.XLOOKUP(Table1[[#This Row],[VIM]],'[1]BASE DE VIM''s-NF''s'!F:F,'[1]BASE DE VIM''s-NF''s'!A:A,"")</f>
        <v>Lançado</v>
      </c>
      <c r="J143" s="15" t="str">
        <f>_xlfn.XLOOKUP(Table1[[#This Row],[VIM]],'[1]BASE DE VIM''s-NF''s'!F:F,'[1]BASE DE VIM''s-NF''s'!L:L,"")</f>
        <v>001541937-3</v>
      </c>
      <c r="K143" s="15" t="str">
        <f>_xlfn.XLOOKUP(Table1[[#This Row],[VIM]],'[1]BASE DE VIM''s-NF''s'!F:F,'[1]BASE DE VIM''s-NF''s'!G:G,"")</f>
        <v>ANHANGUERA COMERCIO DE</v>
      </c>
      <c r="L143" s="15" t="str">
        <f>_xlfn.XLOOKUP(Table1[[#This Row],[PEDIDO]],'[1]BASE DE VIM''s-NF''s'!I:I,'[1]BASE DE VIM''s-NF''s'!R:R,"")</f>
        <v>628.40</v>
      </c>
      <c r="M143" s="14" t="s">
        <v>12</v>
      </c>
    </row>
    <row r="144" spans="1:13" x14ac:dyDescent="0.3">
      <c r="A144" s="24">
        <v>46080</v>
      </c>
      <c r="B144" s="25" t="s">
        <v>227</v>
      </c>
      <c r="C144" s="11" t="s">
        <v>10</v>
      </c>
      <c r="D144" s="17" t="s">
        <v>154</v>
      </c>
      <c r="E144" s="12" t="s">
        <v>109</v>
      </c>
      <c r="F144" s="13">
        <v>1078382114</v>
      </c>
      <c r="G144" s="14">
        <v>4501728418</v>
      </c>
      <c r="H144" s="15">
        <f>IF(Table1[[#This Row],[PEDIDO]]&lt;&gt;"",_xlfn.XLOOKUP(Table1[[#This Row],[PEDIDO]],'[1]BASE DE VIM''s-NF''s'!I:I,'[1]BASE DE VIM''s-NF''s'!F:F,"-"),"-")</f>
        <v>2973195</v>
      </c>
      <c r="I144" s="16" t="str">
        <f>_xlfn.XLOOKUP(Table1[[#This Row],[VIM]],'[1]BASE DE VIM''s-NF''s'!F:F,'[1]BASE DE VIM''s-NF''s'!A:A,"")</f>
        <v>Lançado</v>
      </c>
      <c r="J144" s="15" t="str">
        <f>_xlfn.XLOOKUP(Table1[[#This Row],[VIM]],'[1]BASE DE VIM''s-NF''s'!F:F,'[1]BASE DE VIM''s-NF''s'!L:L,"")</f>
        <v>000134374-1</v>
      </c>
      <c r="K144" s="15" t="str">
        <f>_xlfn.XLOOKUP(Table1[[#This Row],[VIM]],'[1]BASE DE VIM''s-NF''s'!F:F,'[1]BASE DE VIM''s-NF''s'!G:G,"")</f>
        <v>TIAGO DE BROI EIRELI EPP.</v>
      </c>
      <c r="L144" s="15" t="str">
        <f>_xlfn.XLOOKUP(Table1[[#This Row],[PEDIDO]],'[1]BASE DE VIM''s-NF''s'!I:I,'[1]BASE DE VIM''s-NF''s'!R:R,"")</f>
        <v>1,869.66</v>
      </c>
      <c r="M144" s="14" t="s">
        <v>12</v>
      </c>
    </row>
    <row r="145" spans="1:13" x14ac:dyDescent="0.3">
      <c r="A145" s="24">
        <v>46083</v>
      </c>
      <c r="B145" s="25" t="s">
        <v>229</v>
      </c>
      <c r="C145" s="11" t="s">
        <v>10</v>
      </c>
      <c r="D145" s="17" t="s">
        <v>155</v>
      </c>
      <c r="E145" s="12" t="s">
        <v>109</v>
      </c>
      <c r="F145" s="13">
        <v>1078395817</v>
      </c>
      <c r="G145" s="14">
        <v>4501734378</v>
      </c>
      <c r="H145" s="15"/>
      <c r="I145" s="16"/>
      <c r="J145" s="15">
        <f>_xlfn.XLOOKUP(Table1[[#This Row],[VIM]],'[1]BASE DE VIM''s-NF''s'!F:F,'[1]BASE DE VIM''s-NF''s'!L:L,"")</f>
        <v>0</v>
      </c>
      <c r="K145" s="15" t="s">
        <v>268</v>
      </c>
      <c r="L145" s="15" t="s">
        <v>269</v>
      </c>
      <c r="M145" s="14" t="s">
        <v>236</v>
      </c>
    </row>
    <row r="146" spans="1:13" x14ac:dyDescent="0.3">
      <c r="A146" s="24">
        <v>46083</v>
      </c>
      <c r="B146" s="25" t="s">
        <v>229</v>
      </c>
      <c r="C146" s="11" t="s">
        <v>13</v>
      </c>
      <c r="D146" s="17" t="s">
        <v>156</v>
      </c>
      <c r="E146" s="12" t="s">
        <v>109</v>
      </c>
      <c r="F146" s="13">
        <v>1078396657</v>
      </c>
      <c r="G146" s="14">
        <v>4501729007</v>
      </c>
      <c r="H146" s="15"/>
      <c r="I146" s="16"/>
      <c r="J146" s="15">
        <f>_xlfn.XLOOKUP(Table1[[#This Row],[VIM]],'[1]BASE DE VIM''s-NF''s'!F:F,'[1]BASE DE VIM''s-NF''s'!L:L,"")</f>
        <v>0</v>
      </c>
      <c r="K146" s="15" t="s">
        <v>270</v>
      </c>
      <c r="L146" s="15">
        <v>200</v>
      </c>
      <c r="M146" s="14" t="s">
        <v>12</v>
      </c>
    </row>
    <row r="147" spans="1:13" x14ac:dyDescent="0.3">
      <c r="A147" s="24">
        <v>46085</v>
      </c>
      <c r="B147" s="25" t="s">
        <v>228</v>
      </c>
      <c r="C147" s="11" t="s">
        <v>10</v>
      </c>
      <c r="D147" s="18" t="s">
        <v>157</v>
      </c>
      <c r="E147" s="12" t="s">
        <v>109</v>
      </c>
      <c r="F147" s="13">
        <v>1078403460</v>
      </c>
      <c r="G147" s="14">
        <v>4501728406</v>
      </c>
      <c r="H147" s="15">
        <f>IF(Table1[[#This Row],[PEDIDO]]&lt;&gt;"",_xlfn.XLOOKUP(Table1[[#This Row],[PEDIDO]],'[1]BASE DE VIM''s-NF''s'!I:I,'[1]BASE DE VIM''s-NF''s'!F:F,"-"),"-")</f>
        <v>2979862</v>
      </c>
      <c r="I147" s="16" t="str">
        <f>_xlfn.XLOOKUP(Table1[[#This Row],[VIM]],'[1]BASE DE VIM''s-NF''s'!F:F,'[1]BASE DE VIM''s-NF''s'!A:A,"")</f>
        <v>Lançado</v>
      </c>
      <c r="J147" s="15" t="str">
        <f>_xlfn.XLOOKUP(Table1[[#This Row],[VIM]],'[1]BASE DE VIM''s-NF''s'!F:F,'[1]BASE DE VIM''s-NF''s'!L:L,"")</f>
        <v>000000943-1</v>
      </c>
      <c r="K147" s="15" t="str">
        <f>_xlfn.XLOOKUP(Table1[[#This Row],[VIM]],'[1]BASE DE VIM''s-NF''s'!F:F,'[1]BASE DE VIM''s-NF''s'!G:G,"")</f>
        <v>MB - COMERCIO E PRESTACAO DE SERVIC</v>
      </c>
      <c r="L147" s="15" t="str">
        <f>_xlfn.XLOOKUP(Table1[[#This Row],[PEDIDO]],'[1]BASE DE VIM''s-NF''s'!I:I,'[1]BASE DE VIM''s-NF''s'!R:R,"")</f>
        <v>1,100.00</v>
      </c>
      <c r="M147" s="14" t="s">
        <v>12</v>
      </c>
    </row>
    <row r="148" spans="1:13" x14ac:dyDescent="0.3">
      <c r="A148" s="24" t="s">
        <v>231</v>
      </c>
      <c r="B148" s="25" t="s">
        <v>229</v>
      </c>
      <c r="C148" s="11" t="s">
        <v>10</v>
      </c>
      <c r="D148" s="17" t="s">
        <v>158</v>
      </c>
      <c r="E148" s="12" t="s">
        <v>109</v>
      </c>
      <c r="F148" s="13">
        <v>1078456934</v>
      </c>
      <c r="G148" s="14">
        <v>4501729041</v>
      </c>
      <c r="H148" s="15">
        <f>IF(Table1[[#This Row],[PEDIDO]]&lt;&gt;"",_xlfn.XLOOKUP(Table1[[#This Row],[PEDIDO]],'[1]BASE DE VIM''s-NF''s'!I:I,'[1]BASE DE VIM''s-NF''s'!F:F,"-"),"-")</f>
        <v>2974144</v>
      </c>
      <c r="I148" s="16" t="str">
        <f>_xlfn.XLOOKUP(Table1[[#This Row],[VIM]],'[1]BASE DE VIM''s-NF''s'!F:F,'[1]BASE DE VIM''s-NF''s'!A:A,"")</f>
        <v>Lançado</v>
      </c>
      <c r="J148" s="15" t="str">
        <f>_xlfn.XLOOKUP(Table1[[#This Row],[VIM]],'[1]BASE DE VIM''s-NF''s'!F:F,'[1]BASE DE VIM''s-NF''s'!L:L,"")</f>
        <v>001545764-3</v>
      </c>
      <c r="K148" s="15" t="str">
        <f>_xlfn.XLOOKUP(Table1[[#This Row],[VIM]],'[1]BASE DE VIM''s-NF''s'!F:F,'[1]BASE DE VIM''s-NF''s'!G:G,"")</f>
        <v>ANHANGUERA COMERCIO DE</v>
      </c>
      <c r="L148" s="15" t="str">
        <f>_xlfn.XLOOKUP(Table1[[#This Row],[PEDIDO]],'[1]BASE DE VIM''s-NF''s'!I:I,'[1]BASE DE VIM''s-NF''s'!R:R,"")</f>
        <v>2,749.87</v>
      </c>
      <c r="M148" s="14" t="s">
        <v>12</v>
      </c>
    </row>
    <row r="149" spans="1:13" x14ac:dyDescent="0.3">
      <c r="A149" s="24">
        <v>46090</v>
      </c>
      <c r="B149" s="25" t="s">
        <v>229</v>
      </c>
      <c r="C149" s="11" t="s">
        <v>10</v>
      </c>
      <c r="D149" s="17" t="s">
        <v>159</v>
      </c>
      <c r="E149" s="12" t="s">
        <v>109</v>
      </c>
      <c r="F149" s="13">
        <v>1078457107</v>
      </c>
      <c r="G149" s="14">
        <v>4501729063</v>
      </c>
      <c r="H149" s="15">
        <f>IF(Table1[[#This Row],[PEDIDO]]&lt;&gt;"",_xlfn.XLOOKUP(Table1[[#This Row],[PEDIDO]],'[1]BASE DE VIM''s-NF''s'!I:I,'[1]BASE DE VIM''s-NF''s'!F:F,"-"),"-")</f>
        <v>2980241</v>
      </c>
      <c r="I149" s="16" t="str">
        <f>_xlfn.XLOOKUP(Table1[[#This Row],[VIM]],'[1]BASE DE VIM''s-NF''s'!F:F,'[1]BASE DE VIM''s-NF''s'!A:A,"")</f>
        <v>Lançado</v>
      </c>
      <c r="J149" s="15" t="str">
        <f>_xlfn.XLOOKUP(Table1[[#This Row],[VIM]],'[1]BASE DE VIM''s-NF''s'!F:F,'[1]BASE DE VIM''s-NF''s'!L:L,"")</f>
        <v>000000120-1</v>
      </c>
      <c r="K149" s="15" t="str">
        <f>_xlfn.XLOOKUP(Table1[[#This Row],[VIM]],'[1]BASE DE VIM''s-NF''s'!F:F,'[1]BASE DE VIM''s-NF''s'!G:G,"")</f>
        <v>GOLDEN COMERCIO E ASSISTENCIA</v>
      </c>
      <c r="L149" s="15" t="str">
        <f>_xlfn.XLOOKUP(Table1[[#This Row],[PEDIDO]],'[1]BASE DE VIM''s-NF''s'!I:I,'[1]BASE DE VIM''s-NF''s'!R:R,"")</f>
        <v>35,475.00</v>
      </c>
      <c r="M149" s="14" t="s">
        <v>12</v>
      </c>
    </row>
    <row r="150" spans="1:13" x14ac:dyDescent="0.3">
      <c r="A150" s="24" t="s">
        <v>232</v>
      </c>
      <c r="B150" s="25" t="s">
        <v>229</v>
      </c>
      <c r="C150" s="11" t="s">
        <v>10</v>
      </c>
      <c r="D150" s="18" t="s">
        <v>160</v>
      </c>
      <c r="E150" s="12" t="s">
        <v>109</v>
      </c>
      <c r="F150" s="13">
        <v>1078466025</v>
      </c>
      <c r="G150" s="14">
        <v>4501729374</v>
      </c>
      <c r="H150" s="15">
        <f>IF(Table1[[#This Row],[PEDIDO]]&lt;&gt;"",_xlfn.XLOOKUP(Table1[[#This Row],[PEDIDO]],'[1]BASE DE VIM''s-NF''s'!I:I,'[1]BASE DE VIM''s-NF''s'!F:F,"-"),"-")</f>
        <v>2982160</v>
      </c>
      <c r="I150" s="16" t="str">
        <f>_xlfn.XLOOKUP(Table1[[#This Row],[VIM]],'[1]BASE DE VIM''s-NF''s'!F:F,'[1]BASE DE VIM''s-NF''s'!A:A,"")</f>
        <v>Lançado</v>
      </c>
      <c r="J150" s="15" t="str">
        <f>_xlfn.XLOOKUP(Table1[[#This Row],[VIM]],'[1]BASE DE VIM''s-NF''s'!F:F,'[1]BASE DE VIM''s-NF''s'!L:L,"")</f>
        <v>000500618-2</v>
      </c>
      <c r="K150" s="15" t="str">
        <f>_xlfn.XLOOKUP(Table1[[#This Row],[VIM]],'[1]BASE DE VIM''s-NF''s'!F:F,'[1]BASE DE VIM''s-NF''s'!G:G,"")</f>
        <v>CYKLOP DO BRASIL EMBALAGENS SA.</v>
      </c>
      <c r="L150" s="15" t="str">
        <f>_xlfn.XLOOKUP(Table1[[#This Row],[PEDIDO]],'[1]BASE DE VIM''s-NF''s'!I:I,'[1]BASE DE VIM''s-NF''s'!R:R,"")</f>
        <v>1,602.35</v>
      </c>
      <c r="M150" s="14" t="s">
        <v>12</v>
      </c>
    </row>
    <row r="151" spans="1:13" ht="27.6" x14ac:dyDescent="0.3">
      <c r="A151" s="24">
        <v>46092</v>
      </c>
      <c r="B151" s="25" t="s">
        <v>227</v>
      </c>
      <c r="C151" s="11" t="s">
        <v>10</v>
      </c>
      <c r="D151" s="17" t="s">
        <v>161</v>
      </c>
      <c r="E151" s="12" t="s">
        <v>109</v>
      </c>
      <c r="F151" s="13">
        <v>1078475057</v>
      </c>
      <c r="G151" s="14">
        <v>4501729379</v>
      </c>
      <c r="H151" s="15">
        <f>IF(Table1[[#This Row],[PEDIDO]]&lt;&gt;"",_xlfn.XLOOKUP(Table1[[#This Row],[PEDIDO]],'[1]BASE DE VIM''s-NF''s'!I:I,'[1]BASE DE VIM''s-NF''s'!F:F,"-"),"-")</f>
        <v>2979407</v>
      </c>
      <c r="I151" s="16"/>
      <c r="J151" s="15" t="str">
        <f>_xlfn.XLOOKUP(Table1[[#This Row],[VIM]],'[1]BASE DE VIM''s-NF''s'!F:F,'[1]BASE DE VIM''s-NF''s'!L:L,"")</f>
        <v>000135478-1</v>
      </c>
      <c r="K151" s="15" t="str">
        <f>_xlfn.XLOOKUP(Table1[[#This Row],[VIM]],'[1]BASE DE VIM''s-NF''s'!F:F,'[1]BASE DE VIM''s-NF''s'!G:G,"")</f>
        <v>TIAGO DE BROI EIRELI EPP.</v>
      </c>
      <c r="L151" s="15" t="str">
        <f>_xlfn.XLOOKUP(Table1[[#This Row],[PEDIDO]],'[1]BASE DE VIM''s-NF''s'!I:I,'[1]BASE DE VIM''s-NF''s'!R:R,"")</f>
        <v>1,250.05</v>
      </c>
      <c r="M151" s="14" t="s">
        <v>12</v>
      </c>
    </row>
    <row r="152" spans="1:13" ht="27.6" x14ac:dyDescent="0.3">
      <c r="A152" s="24">
        <v>46092</v>
      </c>
      <c r="B152" s="25" t="s">
        <v>229</v>
      </c>
      <c r="C152" s="11" t="s">
        <v>13</v>
      </c>
      <c r="D152" s="17" t="s">
        <v>162</v>
      </c>
      <c r="E152" s="12" t="s">
        <v>109</v>
      </c>
      <c r="F152" s="13">
        <v>1078475484</v>
      </c>
      <c r="G152" s="14">
        <v>4501729451</v>
      </c>
      <c r="H152" s="15">
        <f>IF(Table1[[#This Row],[PEDIDO]]&lt;&gt;"",_xlfn.XLOOKUP(Table1[[#This Row],[PEDIDO]],'[1]BASE DE VIM''s-NF''s'!I:I,'[1]BASE DE VIM''s-NF''s'!F:F,"-"),"-")</f>
        <v>2994365</v>
      </c>
      <c r="I152" s="16" t="str">
        <f>_xlfn.XLOOKUP(Table1[[#This Row],[VIM]],'[1]BASE DE VIM''s-NF''s'!F:F,'[1]BASE DE VIM''s-NF''s'!A:A,"")</f>
        <v>Fornecedor incorreto / Não cadastrado (APROVADOR-REQ.)</v>
      </c>
      <c r="J152" s="15" t="str">
        <f>_xlfn.XLOOKUP(Table1[[#This Row],[VIM]],'[1]BASE DE VIM''s-NF''s'!F:F,'[1]BASE DE VIM''s-NF''s'!L:L,"")</f>
        <v>000002983-9</v>
      </c>
      <c r="K152" s="15" t="str">
        <f>_xlfn.XLOOKUP(Table1[[#This Row],[VIM]],'[1]BASE DE VIM''s-NF''s'!F:F,'[1]BASE DE VIM''s-NF''s'!G:G,"")</f>
        <v>EPD M EXPORTAÇÃO</v>
      </c>
      <c r="L152" s="15" t="str">
        <f>_xlfn.XLOOKUP(Table1[[#This Row],[PEDIDO]],'[1]BASE DE VIM''s-NF''s'!I:I,'[1]BASE DE VIM''s-NF''s'!R:R,"")</f>
        <v>5,540.00</v>
      </c>
      <c r="M152" s="14" t="s">
        <v>12</v>
      </c>
    </row>
    <row r="153" spans="1:13" ht="27.6" x14ac:dyDescent="0.3">
      <c r="A153" s="24">
        <v>46094</v>
      </c>
      <c r="B153" s="25" t="s">
        <v>229</v>
      </c>
      <c r="C153" s="11" t="s">
        <v>10</v>
      </c>
      <c r="D153" s="18" t="s">
        <v>163</v>
      </c>
      <c r="E153" s="12" t="s">
        <v>109</v>
      </c>
      <c r="F153" s="13">
        <v>1078489897</v>
      </c>
      <c r="G153" s="14">
        <v>4501729644</v>
      </c>
      <c r="H153" s="15">
        <f>IF(Table1[[#This Row],[PEDIDO]]&lt;&gt;"",_xlfn.XLOOKUP(Table1[[#This Row],[PEDIDO]],'[1]BASE DE VIM''s-NF''s'!I:I,'[1]BASE DE VIM''s-NF''s'!F:F,"-"),"-")</f>
        <v>2990876</v>
      </c>
      <c r="I153" s="16" t="str">
        <f>_xlfn.XLOOKUP(Table1[[#This Row],[VIM]],'[1]BASE DE VIM''s-NF''s'!F:F,'[1]BASE DE VIM''s-NF''s'!A:A,"")</f>
        <v>Lançado</v>
      </c>
      <c r="J153" s="15" t="str">
        <f>_xlfn.XLOOKUP(Table1[[#This Row],[VIM]],'[1]BASE DE VIM''s-NF''s'!F:F,'[1]BASE DE VIM''s-NF''s'!L:L,"")</f>
        <v>000018938-1</v>
      </c>
      <c r="K153" s="15" t="str">
        <f>_xlfn.XLOOKUP(Table1[[#This Row],[VIM]],'[1]BASE DE VIM''s-NF''s'!F:F,'[1]BASE DE VIM''s-NF''s'!G:G,"")</f>
        <v>WORK PLACE TECNOLOGIA EIRELI</v>
      </c>
      <c r="L153" s="15" t="str">
        <f>_xlfn.XLOOKUP(Table1[[#This Row],[PEDIDO]],'[1]BASE DE VIM''s-NF''s'!I:I,'[1]BASE DE VIM''s-NF''s'!R:R,"")</f>
        <v>3,720.00</v>
      </c>
      <c r="M153" s="14" t="s">
        <v>12</v>
      </c>
    </row>
    <row r="154" spans="1:13" ht="27.6" x14ac:dyDescent="0.3">
      <c r="A154" s="24">
        <v>46094</v>
      </c>
      <c r="B154" s="25" t="s">
        <v>228</v>
      </c>
      <c r="C154" s="11" t="s">
        <v>10</v>
      </c>
      <c r="D154" s="17" t="s">
        <v>164</v>
      </c>
      <c r="E154" s="12" t="s">
        <v>109</v>
      </c>
      <c r="F154" s="13">
        <v>1078501929</v>
      </c>
      <c r="G154" s="14">
        <v>4501729635</v>
      </c>
      <c r="H154" s="15">
        <f>IF(Table1[[#This Row],[PEDIDO]]&lt;&gt;"",_xlfn.XLOOKUP(Table1[[#This Row],[PEDIDO]],'[1]BASE DE VIM''s-NF''s'!I:I,'[1]BASE DE VIM''s-NF''s'!F:F,"-"),"-")</f>
        <v>2976039</v>
      </c>
      <c r="I154" s="16" t="str">
        <f>_xlfn.XLOOKUP(Table1[[#This Row],[VIM]],'[1]BASE DE VIM''s-NF''s'!F:F,'[1]BASE DE VIM''s-NF''s'!A:A,"")</f>
        <v>Lançado</v>
      </c>
      <c r="J154" s="15" t="str">
        <f>_xlfn.XLOOKUP(Table1[[#This Row],[VIM]],'[1]BASE DE VIM''s-NF''s'!F:F,'[1]BASE DE VIM''s-NF''s'!L:L,"")</f>
        <v>000055984-1</v>
      </c>
      <c r="K154" s="15" t="str">
        <f>_xlfn.XLOOKUP(Table1[[#This Row],[VIM]],'[1]BASE DE VIM''s-NF''s'!F:F,'[1]BASE DE VIM''s-NF''s'!G:G,"")</f>
        <v>OXIGENIO JUNDIAI COML. DE GASES</v>
      </c>
      <c r="L154" s="15" t="str">
        <f>_xlfn.XLOOKUP(Table1[[#This Row],[PEDIDO]],'[1]BASE DE VIM''s-NF''s'!I:I,'[1]BASE DE VIM''s-NF''s'!R:R,"")</f>
        <v>967.80</v>
      </c>
      <c r="M154" s="14" t="s">
        <v>12</v>
      </c>
    </row>
    <row r="155" spans="1:13" ht="27.6" x14ac:dyDescent="0.3">
      <c r="A155" s="24">
        <v>46094</v>
      </c>
      <c r="B155" s="25" t="s">
        <v>228</v>
      </c>
      <c r="C155" s="11" t="s">
        <v>10</v>
      </c>
      <c r="D155" s="17" t="s">
        <v>165</v>
      </c>
      <c r="E155" s="12" t="s">
        <v>109</v>
      </c>
      <c r="F155" s="13">
        <v>1078501972</v>
      </c>
      <c r="G155" s="14">
        <v>4501729976</v>
      </c>
      <c r="H155" s="15">
        <f>IF(Table1[[#This Row],[PEDIDO]]&lt;&gt;"",_xlfn.XLOOKUP(Table1[[#This Row],[PEDIDO]],'[1]BASE DE VIM''s-NF''s'!I:I,'[1]BASE DE VIM''s-NF''s'!F:F,"-"),"-")</f>
        <v>2979756</v>
      </c>
      <c r="I155" s="16"/>
      <c r="J155" s="15" t="str">
        <f>_xlfn.XLOOKUP(Table1[[#This Row],[VIM]],'[1]BASE DE VIM''s-NF''s'!F:F,'[1]BASE DE VIM''s-NF''s'!L:L,"")</f>
        <v>000135550-1</v>
      </c>
      <c r="K155" s="15" t="str">
        <f>_xlfn.XLOOKUP(Table1[[#This Row],[VIM]],'[1]BASE DE VIM''s-NF''s'!F:F,'[1]BASE DE VIM''s-NF''s'!G:G,"")</f>
        <v>TIAGO DE BROI EIRELI EPP.</v>
      </c>
      <c r="L155" s="15" t="str">
        <f>_xlfn.XLOOKUP(Table1[[#This Row],[PEDIDO]],'[1]BASE DE VIM''s-NF''s'!I:I,'[1]BASE DE VIM''s-NF''s'!R:R,"")</f>
        <v>1,250.05</v>
      </c>
      <c r="M155" s="14" t="s">
        <v>12</v>
      </c>
    </row>
    <row r="156" spans="1:13" x14ac:dyDescent="0.3">
      <c r="A156" s="24">
        <v>46094</v>
      </c>
      <c r="B156" s="25" t="s">
        <v>228</v>
      </c>
      <c r="C156" s="11" t="s">
        <v>13</v>
      </c>
      <c r="D156" s="17" t="s">
        <v>166</v>
      </c>
      <c r="E156" s="12" t="s">
        <v>109</v>
      </c>
      <c r="F156" s="13">
        <v>1078502075</v>
      </c>
      <c r="G156" s="14">
        <v>4501729631</v>
      </c>
      <c r="H156" s="15">
        <f>IF(Table1[[#This Row],[PEDIDO]]&lt;&gt;"",_xlfn.XLOOKUP(Table1[[#This Row],[PEDIDO]],'[1]BASE DE VIM''s-NF''s'!I:I,'[1]BASE DE VIM''s-NF''s'!F:F,"-"),"-")</f>
        <v>2990029</v>
      </c>
      <c r="I156" s="16" t="str">
        <f>_xlfn.XLOOKUP(Table1[[#This Row],[VIM]],'[1]BASE DE VIM''s-NF''s'!F:F,'[1]BASE DE VIM''s-NF''s'!A:A,"")</f>
        <v>Lançado</v>
      </c>
      <c r="J156" s="15" t="str">
        <f>_xlfn.XLOOKUP(Table1[[#This Row],[VIM]],'[1]BASE DE VIM''s-NF''s'!F:F,'[1]BASE DE VIM''s-NF''s'!L:L,"")</f>
        <v>000000157-1</v>
      </c>
      <c r="K156" s="15" t="str">
        <f>_xlfn.XLOOKUP(Table1[[#This Row],[VIM]],'[1]BASE DE VIM''s-NF''s'!F:F,'[1]BASE DE VIM''s-NF''s'!G:G,"")</f>
        <v>OCTANS SISTEMAS DE AUTOMACAO LTDA.</v>
      </c>
      <c r="L156" s="15" t="str">
        <f>_xlfn.XLOOKUP(Table1[[#This Row],[PEDIDO]],'[1]BASE DE VIM''s-NF''s'!I:I,'[1]BASE DE VIM''s-NF''s'!R:R,"")</f>
        <v>2,510.00</v>
      </c>
      <c r="M156" s="14" t="s">
        <v>12</v>
      </c>
    </row>
    <row r="157" spans="1:13" ht="27.6" x14ac:dyDescent="0.3">
      <c r="A157" s="24">
        <v>46094</v>
      </c>
      <c r="B157" s="25"/>
      <c r="C157" s="11" t="s">
        <v>10</v>
      </c>
      <c r="D157" s="18" t="s">
        <v>167</v>
      </c>
      <c r="E157" s="12" t="s">
        <v>109</v>
      </c>
      <c r="F157" s="13">
        <v>1078514531</v>
      </c>
      <c r="G157" s="14">
        <v>4501730451</v>
      </c>
      <c r="H157" s="15">
        <f>IF(Table1[[#This Row],[PEDIDO]]&lt;&gt;"",_xlfn.XLOOKUP(Table1[[#This Row],[PEDIDO]],'[1]BASE DE VIM''s-NF''s'!I:I,'[1]BASE DE VIM''s-NF''s'!F:F,"-"),"-")</f>
        <v>2980239</v>
      </c>
      <c r="I157" s="16"/>
      <c r="J157" s="15" t="str">
        <f>_xlfn.XLOOKUP(Table1[[#This Row],[VIM]],'[1]BASE DE VIM''s-NF''s'!F:F,'[1]BASE DE VIM''s-NF''s'!L:L,"")</f>
        <v>000135641-1</v>
      </c>
      <c r="K157" s="15" t="str">
        <f>_xlfn.XLOOKUP(Table1[[#This Row],[VIM]],'[1]BASE DE VIM''s-NF''s'!F:F,'[1]BASE DE VIM''s-NF''s'!G:G,"")</f>
        <v>TIAGO DE BROI EIRELI EPP.</v>
      </c>
      <c r="L157" s="15" t="str">
        <f>_xlfn.XLOOKUP(Table1[[#This Row],[PEDIDO]],'[1]BASE DE VIM''s-NF''s'!I:I,'[1]BASE DE VIM''s-NF''s'!R:R,"")</f>
        <v>1,712.41</v>
      </c>
      <c r="M157" s="14" t="s">
        <v>12</v>
      </c>
    </row>
    <row r="158" spans="1:13" x14ac:dyDescent="0.3">
      <c r="A158" s="24">
        <v>46099</v>
      </c>
      <c r="B158" s="25" t="s">
        <v>229</v>
      </c>
      <c r="C158" s="11" t="s">
        <v>25</v>
      </c>
      <c r="D158" s="17" t="s">
        <v>168</v>
      </c>
      <c r="E158" s="12" t="s">
        <v>109</v>
      </c>
      <c r="F158" s="13">
        <v>1078538534</v>
      </c>
      <c r="G158" s="14">
        <v>4501730537</v>
      </c>
      <c r="H158" s="15">
        <f>IF(Table1[[#This Row],[PEDIDO]]&lt;&gt;"",_xlfn.XLOOKUP(Table1[[#This Row],[PEDIDO]],'[1]BASE DE VIM''s-NF''s'!I:I,'[1]BASE DE VIM''s-NF''s'!F:F,"-"),"-")</f>
        <v>2984711</v>
      </c>
      <c r="I158" s="16"/>
      <c r="J158" s="15" t="str">
        <f>_xlfn.XLOOKUP(Table1[[#This Row],[VIM]],'[1]BASE DE VIM''s-NF''s'!F:F,'[1]BASE DE VIM''s-NF''s'!L:L,"")</f>
        <v>000353458-1</v>
      </c>
      <c r="K158" s="15" t="str">
        <f>_xlfn.XLOOKUP(Table1[[#This Row],[VIM]],'[1]BASE DE VIM''s-NF''s'!F:F,'[1]BASE DE VIM''s-NF''s'!G:G,"")</f>
        <v>NILKO TECNOLOGIA LTDA.</v>
      </c>
      <c r="L158" s="15" t="str">
        <f>_xlfn.XLOOKUP(Table1[[#This Row],[PEDIDO]],'[1]BASE DE VIM''s-NF''s'!I:I,'[1]BASE DE VIM''s-NF''s'!R:R,"")</f>
        <v>19,725.91</v>
      </c>
      <c r="M158" s="14" t="s">
        <v>12</v>
      </c>
    </row>
    <row r="159" spans="1:13" x14ac:dyDescent="0.3">
      <c r="A159" s="24">
        <v>46099</v>
      </c>
      <c r="B159" s="25" t="s">
        <v>228</v>
      </c>
      <c r="C159" s="11" t="s">
        <v>25</v>
      </c>
      <c r="D159" s="17" t="s">
        <v>169</v>
      </c>
      <c r="E159" s="12" t="s">
        <v>109</v>
      </c>
      <c r="F159" s="13">
        <v>1078538329</v>
      </c>
      <c r="G159" s="14">
        <v>4501730025</v>
      </c>
      <c r="H159" s="15">
        <f>IF(Table1[[#This Row],[PEDIDO]]&lt;&gt;"",_xlfn.XLOOKUP(Table1[[#This Row],[PEDIDO]],'[1]BASE DE VIM''s-NF''s'!I:I,'[1]BASE DE VIM''s-NF''s'!F:F,"-"),"-")</f>
        <v>2995775</v>
      </c>
      <c r="I159" s="16"/>
      <c r="J159" s="15" t="str">
        <f>_xlfn.XLOOKUP(Table1[[#This Row],[VIM]],'[1]BASE DE VIM''s-NF''s'!F:F,'[1]BASE DE VIM''s-NF''s'!L:L,"")</f>
        <v>000000462-9</v>
      </c>
      <c r="K159" s="15" t="str">
        <f>_xlfn.XLOOKUP(Table1[[#This Row],[VIM]],'[1]BASE DE VIM''s-NF''s'!F:F,'[1]BASE DE VIM''s-NF''s'!G:G,"")</f>
        <v>USINAGEM PAULISTA LTDA.</v>
      </c>
      <c r="L159" s="15" t="str">
        <f>_xlfn.XLOOKUP(Table1[[#This Row],[PEDIDO]],'[1]BASE DE VIM''s-NF''s'!I:I,'[1]BASE DE VIM''s-NF''s'!R:R,"")</f>
        <v>11,951.00</v>
      </c>
      <c r="M159" s="14" t="s">
        <v>12</v>
      </c>
    </row>
    <row r="160" spans="1:13" x14ac:dyDescent="0.3">
      <c r="A160" s="24">
        <v>46099</v>
      </c>
      <c r="B160" s="25" t="s">
        <v>227</v>
      </c>
      <c r="C160" s="11" t="s">
        <v>25</v>
      </c>
      <c r="D160" s="17" t="s">
        <v>170</v>
      </c>
      <c r="E160" s="12" t="s">
        <v>109</v>
      </c>
      <c r="F160" s="13">
        <v>1078670640</v>
      </c>
      <c r="G160" s="14"/>
      <c r="H160" s="15"/>
      <c r="I160" s="16"/>
      <c r="J160" s="15" t="str">
        <f>_xlfn.XLOOKUP(Table1[[#This Row],[VIM]],'[1]BASE DE VIM''s-NF''s'!F:F,'[1]BASE DE VIM''s-NF''s'!L:L,"")</f>
        <v/>
      </c>
      <c r="K160" s="15" t="s">
        <v>233</v>
      </c>
      <c r="L160" s="15" t="s">
        <v>265</v>
      </c>
      <c r="M160" s="14" t="s">
        <v>236</v>
      </c>
    </row>
    <row r="161" spans="1:13" x14ac:dyDescent="0.3">
      <c r="A161" s="24">
        <v>46099</v>
      </c>
      <c r="B161" s="25" t="s">
        <v>227</v>
      </c>
      <c r="C161" s="11" t="s">
        <v>25</v>
      </c>
      <c r="D161" s="18" t="s">
        <v>171</v>
      </c>
      <c r="E161" s="12" t="s">
        <v>109</v>
      </c>
      <c r="F161" s="13">
        <v>1078538550</v>
      </c>
      <c r="G161" s="14">
        <v>4501730060</v>
      </c>
      <c r="H161" s="15">
        <f>IF(Table1[[#This Row],[PEDIDO]]&lt;&gt;"",_xlfn.XLOOKUP(Table1[[#This Row],[PEDIDO]],'[1]BASE DE VIM''s-NF''s'!I:I,'[1]BASE DE VIM''s-NF''s'!F:F,"-"),"-")</f>
        <v>2995873</v>
      </c>
      <c r="I161" s="16" t="str">
        <f>_xlfn.XLOOKUP(Table1[[#This Row],[VIM]],'[1]BASE DE VIM''s-NF''s'!F:F,'[1]BASE DE VIM''s-NF''s'!A:A,"")</f>
        <v>Aguardando DANFE (PORTARIA)</v>
      </c>
      <c r="J161" s="15" t="str">
        <f>_xlfn.XLOOKUP(Table1[[#This Row],[VIM]],'[1]BASE DE VIM''s-NF''s'!F:F,'[1]BASE DE VIM''s-NF''s'!L:L,"")</f>
        <v>000036125-1</v>
      </c>
      <c r="K161" s="15" t="str">
        <f>_xlfn.XLOOKUP(Table1[[#This Row],[VIM]],'[1]BASE DE VIM''s-NF''s'!F:F,'[1]BASE DE VIM''s-NF''s'!G:G,"")</f>
        <v>STAHL TALHAS EQUIPAMENTOS DE</v>
      </c>
      <c r="L161" s="15" t="str">
        <f>_xlfn.XLOOKUP(Table1[[#This Row],[PEDIDO]],'[1]BASE DE VIM''s-NF''s'!I:I,'[1]BASE DE VIM''s-NF''s'!R:R,"")</f>
        <v>38,000.00</v>
      </c>
      <c r="M161" s="14" t="s">
        <v>236</v>
      </c>
    </row>
    <row r="162" spans="1:13" x14ac:dyDescent="0.3">
      <c r="A162" s="24">
        <v>46099</v>
      </c>
      <c r="B162" s="25" t="s">
        <v>228</v>
      </c>
      <c r="C162" s="11" t="s">
        <v>25</v>
      </c>
      <c r="D162" s="17" t="s">
        <v>172</v>
      </c>
      <c r="E162" s="12" t="s">
        <v>109</v>
      </c>
      <c r="F162" s="13">
        <v>1078538551</v>
      </c>
      <c r="G162" s="14">
        <v>4501730062</v>
      </c>
      <c r="H162" s="15">
        <f>IF(Table1[[#This Row],[PEDIDO]]&lt;&gt;"",_xlfn.XLOOKUP(Table1[[#This Row],[PEDIDO]],'[1]BASE DE VIM''s-NF''s'!I:I,'[1]BASE DE VIM''s-NF''s'!F:F,"-"),"-")</f>
        <v>2990027</v>
      </c>
      <c r="I162" s="16" t="str">
        <f>_xlfn.XLOOKUP(Table1[[#This Row],[VIM]],'[1]BASE DE VIM''s-NF''s'!F:F,'[1]BASE DE VIM''s-NF''s'!A:A,"")</f>
        <v>Lançado</v>
      </c>
      <c r="J162" s="15" t="str">
        <f>_xlfn.XLOOKUP(Table1[[#This Row],[VIM]],'[1]BASE DE VIM''s-NF''s'!F:F,'[1]BASE DE VIM''s-NF''s'!L:L,"")</f>
        <v>000007092-1</v>
      </c>
      <c r="K162" s="15" t="str">
        <f>_xlfn.XLOOKUP(Table1[[#This Row],[VIM]],'[1]BASE DE VIM''s-NF''s'!F:F,'[1]BASE DE VIM''s-NF''s'!G:G,"")</f>
        <v>MOTA - USINAGEM E</v>
      </c>
      <c r="L162" s="15" t="str">
        <f>_xlfn.XLOOKUP(Table1[[#This Row],[PEDIDO]],'[1]BASE DE VIM''s-NF''s'!I:I,'[1]BASE DE VIM''s-NF''s'!R:R,"")</f>
        <v>80,296.77</v>
      </c>
      <c r="M162" s="14" t="s">
        <v>12</v>
      </c>
    </row>
    <row r="163" spans="1:13" x14ac:dyDescent="0.3">
      <c r="A163" s="24">
        <v>46099</v>
      </c>
      <c r="B163" s="25" t="s">
        <v>228</v>
      </c>
      <c r="C163" s="11" t="s">
        <v>25</v>
      </c>
      <c r="D163" s="17" t="s">
        <v>173</v>
      </c>
      <c r="E163" s="12" t="s">
        <v>109</v>
      </c>
      <c r="F163" s="13">
        <v>1078538552</v>
      </c>
      <c r="G163" s="14">
        <v>4501730066</v>
      </c>
      <c r="H163" s="15" t="str">
        <f>IF(Table1[[#This Row],[PEDIDO]]&lt;&gt;"",_xlfn.XLOOKUP(Table1[[#This Row],[PEDIDO]],'[1]BASE DE VIM''s-NF''s'!I:I,'[1]BASE DE VIM''s-NF''s'!F:F,"-"),"-")</f>
        <v>-</v>
      </c>
      <c r="I163" s="16" t="str">
        <f>_xlfn.XLOOKUP(Table1[[#This Row],[VIM]],'[1]BASE DE VIM''s-NF''s'!F:F,'[1]BASE DE VIM''s-NF''s'!A:A,"")</f>
        <v/>
      </c>
      <c r="J163" s="15" t="str">
        <f>_xlfn.XLOOKUP(Table1[[#This Row],[VIM]],'[1]BASE DE VIM''s-NF''s'!F:F,'[1]BASE DE VIM''s-NF''s'!L:L,"")</f>
        <v/>
      </c>
      <c r="K163" s="15" t="s">
        <v>235</v>
      </c>
      <c r="L163" s="15" t="s">
        <v>234</v>
      </c>
      <c r="M163" s="14" t="s">
        <v>12</v>
      </c>
    </row>
    <row r="164" spans="1:13" ht="27.6" x14ac:dyDescent="0.3">
      <c r="A164" s="24">
        <v>46099</v>
      </c>
      <c r="B164" s="25" t="s">
        <v>228</v>
      </c>
      <c r="C164" s="11" t="s">
        <v>25</v>
      </c>
      <c r="D164" s="17" t="s">
        <v>174</v>
      </c>
      <c r="E164" s="12" t="s">
        <v>109</v>
      </c>
      <c r="F164" s="13">
        <v>1078538553</v>
      </c>
      <c r="G164" s="14">
        <v>4501730072</v>
      </c>
      <c r="H164" s="15">
        <f>IF(Table1[[#This Row],[PEDIDO]]&lt;&gt;"",_xlfn.XLOOKUP(Table1[[#This Row],[PEDIDO]],'[1]BASE DE VIM''s-NF''s'!I:I,'[1]BASE DE VIM''s-NF''s'!F:F,"-"),"-")</f>
        <v>2990813</v>
      </c>
      <c r="I164" s="16"/>
      <c r="J164" s="15" t="str">
        <f>_xlfn.XLOOKUP(Table1[[#This Row],[VIM]],'[1]BASE DE VIM''s-NF''s'!F:F,'[1]BASE DE VIM''s-NF''s'!L:L,"")</f>
        <v>000007071-0</v>
      </c>
      <c r="K164" s="15" t="str">
        <f>_xlfn.XLOOKUP(Table1[[#This Row],[VIM]],'[1]BASE DE VIM''s-NF''s'!F:F,'[1]BASE DE VIM''s-NF''s'!G:G,"")</f>
        <v>RZR - BOMBAS POSITIVAS LTDA. EPP.</v>
      </c>
      <c r="L164" s="15" t="str">
        <f>_xlfn.XLOOKUP(Table1[[#This Row],[PEDIDO]],'[1]BASE DE VIM''s-NF''s'!I:I,'[1]BASE DE VIM''s-NF''s'!R:R,"")</f>
        <v>39,510.00</v>
      </c>
      <c r="M164" s="14" t="s">
        <v>12</v>
      </c>
    </row>
    <row r="165" spans="1:13" ht="27.6" x14ac:dyDescent="0.3">
      <c r="A165" s="24">
        <v>46100</v>
      </c>
      <c r="B165" s="25" t="s">
        <v>227</v>
      </c>
      <c r="C165" s="11" t="s">
        <v>25</v>
      </c>
      <c r="D165" s="18" t="s">
        <v>175</v>
      </c>
      <c r="E165" s="12" t="s">
        <v>11</v>
      </c>
      <c r="F165" s="13">
        <v>1078538562</v>
      </c>
      <c r="G165" s="14">
        <v>4501730088</v>
      </c>
      <c r="H165" s="15">
        <f>IF(Table1[[#This Row],[PEDIDO]]&lt;&gt;"",_xlfn.XLOOKUP(Table1[[#This Row],[PEDIDO]],'[1]BASE DE VIM''s-NF''s'!I:I,'[1]BASE DE VIM''s-NF''s'!F:F,"-"),"-")</f>
        <v>2990666</v>
      </c>
      <c r="I165" s="16" t="str">
        <f>_xlfn.XLOOKUP(Table1[[#This Row],[VIM]],'[1]BASE DE VIM''s-NF''s'!F:F,'[1]BASE DE VIM''s-NF''s'!A:A,"")</f>
        <v>Aguardando DANFE (PORTARIA)</v>
      </c>
      <c r="J165" s="15" t="str">
        <f>_xlfn.XLOOKUP(Table1[[#This Row],[VIM]],'[1]BASE DE VIM''s-NF''s'!F:F,'[1]BASE DE VIM''s-NF''s'!L:L,"")</f>
        <v>000050441-1</v>
      </c>
      <c r="K165" s="15" t="str">
        <f>_xlfn.XLOOKUP(Table1[[#This Row],[VIM]],'[1]BASE DE VIM''s-NF''s'!F:F,'[1]BASE DE VIM''s-NF''s'!G:G,"")</f>
        <v>HILTI DO BRASIL COMERCIAL LTDA.</v>
      </c>
      <c r="L165" s="15" t="str">
        <f>_xlfn.XLOOKUP(Table1[[#This Row],[PEDIDO]],'[1]BASE DE VIM''s-NF''s'!I:I,'[1]BASE DE VIM''s-NF''s'!R:R,"")</f>
        <v>56,906.99</v>
      </c>
      <c r="M165" s="14" t="s">
        <v>236</v>
      </c>
    </row>
    <row r="166" spans="1:13" ht="41.4" x14ac:dyDescent="0.3">
      <c r="A166" s="24">
        <v>46100</v>
      </c>
      <c r="B166" s="25" t="s">
        <v>227</v>
      </c>
      <c r="C166" s="11" t="s">
        <v>25</v>
      </c>
      <c r="D166" s="17" t="s">
        <v>176</v>
      </c>
      <c r="E166" s="12" t="s">
        <v>11</v>
      </c>
      <c r="F166" s="13">
        <v>1078549783</v>
      </c>
      <c r="G166" s="14">
        <v>4501730088</v>
      </c>
      <c r="H166" s="15">
        <f>IF(Table1[[#This Row],[PEDIDO]]&lt;&gt;"",_xlfn.XLOOKUP(Table1[[#This Row],[PEDIDO]],'[1]BASE DE VIM''s-NF''s'!I:I,'[1]BASE DE VIM''s-NF''s'!F:F,"-"),"-")</f>
        <v>2990666</v>
      </c>
      <c r="I166" s="16" t="str">
        <f>_xlfn.XLOOKUP(Table1[[#This Row],[VIM]],'[1]BASE DE VIM''s-NF''s'!F:F,'[1]BASE DE VIM''s-NF''s'!A:A,"")</f>
        <v>Aguardando DANFE (PORTARIA)</v>
      </c>
      <c r="J166" s="15" t="str">
        <f>_xlfn.XLOOKUP(Table1[[#This Row],[VIM]],'[1]BASE DE VIM''s-NF''s'!F:F,'[1]BASE DE VIM''s-NF''s'!L:L,"")</f>
        <v>000050441-1</v>
      </c>
      <c r="K166" s="15" t="str">
        <f>_xlfn.XLOOKUP(Table1[[#This Row],[VIM]],'[1]BASE DE VIM''s-NF''s'!F:F,'[1]BASE DE VIM''s-NF''s'!G:G,"")</f>
        <v>HILTI DO BRASIL COMERCIAL LTDA.</v>
      </c>
      <c r="L166" s="15" t="str">
        <f>_xlfn.XLOOKUP(Table1[[#This Row],[PEDIDO]],'[1]BASE DE VIM''s-NF''s'!I:I,'[1]BASE DE VIM''s-NF''s'!R:R,"")</f>
        <v>56,906.99</v>
      </c>
      <c r="M166" s="14" t="s">
        <v>236</v>
      </c>
    </row>
    <row r="167" spans="1:13" x14ac:dyDescent="0.3">
      <c r="A167" s="24">
        <v>46100</v>
      </c>
      <c r="B167" s="25" t="s">
        <v>227</v>
      </c>
      <c r="C167" s="11" t="s">
        <v>25</v>
      </c>
      <c r="D167" s="17" t="s">
        <v>177</v>
      </c>
      <c r="E167" s="12" t="s">
        <v>11</v>
      </c>
      <c r="F167" s="13">
        <v>1078549780</v>
      </c>
      <c r="G167" s="14">
        <v>4501730163</v>
      </c>
      <c r="H167" s="15">
        <f>IF(Table1[[#This Row],[PEDIDO]]&lt;&gt;"",_xlfn.XLOOKUP(Table1[[#This Row],[PEDIDO]],'[1]BASE DE VIM''s-NF''s'!I:I,'[1]BASE DE VIM''s-NF''s'!F:F,"-"),"-")</f>
        <v>2990814</v>
      </c>
      <c r="I167" s="16"/>
      <c r="J167" s="15" t="str">
        <f>_xlfn.XLOOKUP(Table1[[#This Row],[VIM]],'[1]BASE DE VIM''s-NF''s'!F:F,'[1]BASE DE VIM''s-NF''s'!L:L,"")</f>
        <v>000007070-0</v>
      </c>
      <c r="K167" s="15" t="str">
        <f>_xlfn.XLOOKUP(Table1[[#This Row],[VIM]],'[1]BASE DE VIM''s-NF''s'!F:F,'[1]BASE DE VIM''s-NF''s'!G:G,"")</f>
        <v>RZR - BOMBAS POSITIVAS LTDA. EPP.</v>
      </c>
      <c r="L167" s="15" t="str">
        <f>_xlfn.XLOOKUP(Table1[[#This Row],[PEDIDO]],'[1]BASE DE VIM''s-NF''s'!I:I,'[1]BASE DE VIM''s-NF''s'!R:R,"")</f>
        <v>18,795.00</v>
      </c>
      <c r="M167" s="14" t="s">
        <v>12</v>
      </c>
    </row>
    <row r="168" spans="1:13" ht="27.6" x14ac:dyDescent="0.3">
      <c r="A168" s="24">
        <v>46100</v>
      </c>
      <c r="B168" s="25" t="s">
        <v>227</v>
      </c>
      <c r="C168" s="11" t="s">
        <v>25</v>
      </c>
      <c r="D168" s="17" t="s">
        <v>178</v>
      </c>
      <c r="E168" s="12" t="s">
        <v>11</v>
      </c>
      <c r="F168" s="13">
        <v>1078549781</v>
      </c>
      <c r="G168" s="14">
        <v>4501730088</v>
      </c>
      <c r="H168" s="15">
        <f>IF(Table1[[#This Row],[PEDIDO]]&lt;&gt;"",_xlfn.XLOOKUP(Table1[[#This Row],[PEDIDO]],'[1]BASE DE VIM''s-NF''s'!I:I,'[1]BASE DE VIM''s-NF''s'!F:F,"-"),"-")</f>
        <v>2990666</v>
      </c>
      <c r="I168" s="16" t="str">
        <f>_xlfn.XLOOKUP(Table1[[#This Row],[VIM]],'[1]BASE DE VIM''s-NF''s'!F:F,'[1]BASE DE VIM''s-NF''s'!A:A,"")</f>
        <v>Aguardando DANFE (PORTARIA)</v>
      </c>
      <c r="J168" s="15" t="str">
        <f>_xlfn.XLOOKUP(Table1[[#This Row],[VIM]],'[1]BASE DE VIM''s-NF''s'!F:F,'[1]BASE DE VIM''s-NF''s'!L:L,"")</f>
        <v>000050441-1</v>
      </c>
      <c r="K168" s="15" t="str">
        <f>_xlfn.XLOOKUP(Table1[[#This Row],[VIM]],'[1]BASE DE VIM''s-NF''s'!F:F,'[1]BASE DE VIM''s-NF''s'!G:G,"")</f>
        <v>HILTI DO BRASIL COMERCIAL LTDA.</v>
      </c>
      <c r="L168" s="15" t="str">
        <f>_xlfn.XLOOKUP(Table1[[#This Row],[PEDIDO]],'[1]BASE DE VIM''s-NF''s'!I:I,'[1]BASE DE VIM''s-NF''s'!R:R,"")</f>
        <v>56,906.99</v>
      </c>
      <c r="M168" s="14" t="s">
        <v>236</v>
      </c>
    </row>
    <row r="169" spans="1:13" ht="41.4" x14ac:dyDescent="0.3">
      <c r="A169" s="24">
        <v>46100</v>
      </c>
      <c r="B169" s="25" t="s">
        <v>227</v>
      </c>
      <c r="C169" s="11" t="s">
        <v>25</v>
      </c>
      <c r="D169" s="18" t="s">
        <v>179</v>
      </c>
      <c r="E169" s="12" t="s">
        <v>11</v>
      </c>
      <c r="F169" s="13">
        <v>1078549782</v>
      </c>
      <c r="G169" s="14">
        <v>4501730088</v>
      </c>
      <c r="H169" s="15">
        <f>IF(Table1[[#This Row],[PEDIDO]]&lt;&gt;"",_xlfn.XLOOKUP(Table1[[#This Row],[PEDIDO]],'[1]BASE DE VIM''s-NF''s'!I:I,'[1]BASE DE VIM''s-NF''s'!F:F,"-"),"-")</f>
        <v>2990666</v>
      </c>
      <c r="I169" s="16" t="str">
        <f>_xlfn.XLOOKUP(Table1[[#This Row],[VIM]],'[1]BASE DE VIM''s-NF''s'!F:F,'[1]BASE DE VIM''s-NF''s'!A:A,"")</f>
        <v>Aguardando DANFE (PORTARIA)</v>
      </c>
      <c r="J169" s="15" t="str">
        <f>_xlfn.XLOOKUP(Table1[[#This Row],[VIM]],'[1]BASE DE VIM''s-NF''s'!F:F,'[1]BASE DE VIM''s-NF''s'!L:L,"")</f>
        <v>000050441-1</v>
      </c>
      <c r="K169" s="15" t="str">
        <f>_xlfn.XLOOKUP(Table1[[#This Row],[VIM]],'[1]BASE DE VIM''s-NF''s'!F:F,'[1]BASE DE VIM''s-NF''s'!G:G,"")</f>
        <v>HILTI DO BRASIL COMERCIAL LTDA.</v>
      </c>
      <c r="L169" s="15" t="str">
        <f>_xlfn.XLOOKUP(Table1[[#This Row],[PEDIDO]],'[1]BASE DE VIM''s-NF''s'!I:I,'[1]BASE DE VIM''s-NF''s'!R:R,"")</f>
        <v>56,906.99</v>
      </c>
      <c r="M169" s="14" t="s">
        <v>236</v>
      </c>
    </row>
    <row r="170" spans="1:13" x14ac:dyDescent="0.3">
      <c r="A170" s="24">
        <v>46101</v>
      </c>
      <c r="B170" s="25" t="s">
        <v>228</v>
      </c>
      <c r="C170" s="11" t="s">
        <v>10</v>
      </c>
      <c r="D170" s="17" t="s">
        <v>180</v>
      </c>
      <c r="E170" s="12" t="s">
        <v>109</v>
      </c>
      <c r="F170" s="13">
        <v>1078560927</v>
      </c>
      <c r="G170" s="14">
        <v>4501730375</v>
      </c>
      <c r="H170" s="15">
        <f>IF(Table1[[#This Row],[PEDIDO]]&lt;&gt;"",_xlfn.XLOOKUP(Table1[[#This Row],[PEDIDO]],'[1]BASE DE VIM''s-NF''s'!I:I,'[1]BASE DE VIM''s-NF''s'!F:F,"-"),"-")</f>
        <v>2978719</v>
      </c>
      <c r="I170" s="16"/>
      <c r="J170" s="15" t="str">
        <f>_xlfn.XLOOKUP(Table1[[#This Row],[VIM]],'[1]BASE DE VIM''s-NF''s'!F:F,'[1]BASE DE VIM''s-NF''s'!L:L,"")</f>
        <v>000007345-1</v>
      </c>
      <c r="K170" s="15" t="str">
        <f>_xlfn.XLOOKUP(Table1[[#This Row],[VIM]],'[1]BASE DE VIM''s-NF''s'!F:F,'[1]BASE DE VIM''s-NF''s'!G:G,"")</f>
        <v>ROVAMEC USINAGEM LTDA. EPP.</v>
      </c>
      <c r="L170" s="15" t="str">
        <f>_xlfn.XLOOKUP(Table1[[#This Row],[PEDIDO]],'[1]BASE DE VIM''s-NF''s'!I:I,'[1]BASE DE VIM''s-NF''s'!R:R,"")</f>
        <v>3,560.00</v>
      </c>
      <c r="M170" s="14" t="s">
        <v>12</v>
      </c>
    </row>
    <row r="171" spans="1:13" x14ac:dyDescent="0.3">
      <c r="A171" s="24">
        <v>46102</v>
      </c>
      <c r="B171" s="25" t="s">
        <v>227</v>
      </c>
      <c r="C171" s="11" t="s">
        <v>10</v>
      </c>
      <c r="D171" s="17" t="s">
        <v>181</v>
      </c>
      <c r="E171" s="12" t="s">
        <v>109</v>
      </c>
      <c r="F171" s="13">
        <v>1078562012</v>
      </c>
      <c r="G171" s="14">
        <v>4501730472</v>
      </c>
      <c r="H171" s="15">
        <f>IF(Table1[[#This Row],[PEDIDO]]&lt;&gt;"",_xlfn.XLOOKUP(Table1[[#This Row],[PEDIDO]],'[1]BASE DE VIM''s-NF''s'!I:I,'[1]BASE DE VIM''s-NF''s'!F:F,"-"),"-")</f>
        <v>2978122</v>
      </c>
      <c r="I171" s="16" t="str">
        <f>_xlfn.XLOOKUP(Table1[[#This Row],[VIM]],'[1]BASE DE VIM''s-NF''s'!F:F,'[1]BASE DE VIM''s-NF''s'!A:A,"")</f>
        <v>Lançado</v>
      </c>
      <c r="J171" s="15" t="str">
        <f>_xlfn.XLOOKUP(Table1[[#This Row],[VIM]],'[1]BASE DE VIM''s-NF''s'!F:F,'[1]BASE DE VIM''s-NF''s'!L:L,"")</f>
        <v>000009388-1</v>
      </c>
      <c r="K171" s="15" t="str">
        <f>_xlfn.XLOOKUP(Table1[[#This Row],[VIM]],'[1]BASE DE VIM''s-NF''s'!F:F,'[1]BASE DE VIM''s-NF''s'!G:G,"")</f>
        <v>AIRGAS BRASIL REPRESENTACAO</v>
      </c>
      <c r="L171" s="15" t="str">
        <f>_xlfn.XLOOKUP(Table1[[#This Row],[PEDIDO]],'[1]BASE DE VIM''s-NF''s'!I:I,'[1]BASE DE VIM''s-NF''s'!R:R,"")</f>
        <v>355.00</v>
      </c>
      <c r="M171" s="14" t="s">
        <v>12</v>
      </c>
    </row>
    <row r="172" spans="1:13" ht="41.4" x14ac:dyDescent="0.3">
      <c r="A172" s="24">
        <v>46104</v>
      </c>
      <c r="B172" s="25" t="s">
        <v>227</v>
      </c>
      <c r="C172" s="11" t="s">
        <v>25</v>
      </c>
      <c r="D172" s="17" t="s">
        <v>182</v>
      </c>
      <c r="E172" s="12" t="s">
        <v>109</v>
      </c>
      <c r="F172" s="13">
        <v>1078569715</v>
      </c>
      <c r="G172" s="14">
        <v>4501730948</v>
      </c>
      <c r="H172" s="15"/>
      <c r="I172" s="16"/>
      <c r="J172" s="15" t="str">
        <f>_xlfn.XLOOKUP(Table1[[#This Row],[VIM]],'[1]BASE DE VIM''s-NF''s'!F:F,'[1]BASE DE VIM''s-NF''s'!L:L,"")</f>
        <v/>
      </c>
      <c r="K172" s="15" t="s">
        <v>267</v>
      </c>
      <c r="L172" s="15" t="s">
        <v>266</v>
      </c>
      <c r="M172" s="14" t="s">
        <v>236</v>
      </c>
    </row>
    <row r="173" spans="1:13" x14ac:dyDescent="0.3">
      <c r="A173" s="24">
        <v>46105</v>
      </c>
      <c r="B173" s="25" t="s">
        <v>228</v>
      </c>
      <c r="C173" s="11" t="s">
        <v>10</v>
      </c>
      <c r="D173" s="17" t="s">
        <v>183</v>
      </c>
      <c r="E173" s="12" t="s">
        <v>109</v>
      </c>
      <c r="F173" s="13">
        <v>1078578598</v>
      </c>
      <c r="G173" s="14">
        <v>4501730695</v>
      </c>
      <c r="H173" s="15">
        <f>IF(Table1[[#This Row],[PEDIDO]]&lt;&gt;"",_xlfn.XLOOKUP(Table1[[#This Row],[PEDIDO]],'[1]BASE DE VIM''s-NF''s'!I:I,'[1]BASE DE VIM''s-NF''s'!F:F,"-"),"-")</f>
        <v>2994094</v>
      </c>
      <c r="I173" s="16" t="str">
        <f>_xlfn.XLOOKUP(Table1[[#This Row],[VIM]],'[1]BASE DE VIM''s-NF''s'!F:F,'[1]BASE DE VIM''s-NF''s'!A:A,"")</f>
        <v>Lançado</v>
      </c>
      <c r="J173" s="15" t="str">
        <f>_xlfn.XLOOKUP(Table1[[#This Row],[VIM]],'[1]BASE DE VIM''s-NF''s'!F:F,'[1]BASE DE VIM''s-NF''s'!L:L,"")</f>
        <v>000007097-1</v>
      </c>
      <c r="K173" s="15" t="str">
        <f>_xlfn.XLOOKUP(Table1[[#This Row],[VIM]],'[1]BASE DE VIM''s-NF''s'!F:F,'[1]BASE DE VIM''s-NF''s'!G:G,"")</f>
        <v>MOTA - USINAGEM E</v>
      </c>
      <c r="L173" s="15" t="str">
        <f>_xlfn.XLOOKUP(Table1[[#This Row],[PEDIDO]],'[1]BASE DE VIM''s-NF''s'!I:I,'[1]BASE DE VIM''s-NF''s'!R:R,"")</f>
        <v>24,589.37</v>
      </c>
      <c r="M173" s="14" t="s">
        <v>236</v>
      </c>
    </row>
    <row r="174" spans="1:13" x14ac:dyDescent="0.3">
      <c r="A174" s="24">
        <v>46107</v>
      </c>
      <c r="B174" s="25" t="s">
        <v>228</v>
      </c>
      <c r="C174" s="11" t="s">
        <v>25</v>
      </c>
      <c r="D174" s="17" t="s">
        <v>184</v>
      </c>
      <c r="E174" s="12" t="s">
        <v>109</v>
      </c>
      <c r="F174" s="13">
        <v>1078588392</v>
      </c>
      <c r="G174" s="14">
        <v>4501730973</v>
      </c>
      <c r="H174" s="15" t="str">
        <f>IF(Table1[[#This Row],[PEDIDO]]&lt;&gt;"",_xlfn.XLOOKUP(Table1[[#This Row],[PEDIDO]],'[1]BASE DE VIM''s-NF''s'!I:I,'[1]BASE DE VIM''s-NF''s'!F:F,"-"),"-")</f>
        <v>-</v>
      </c>
      <c r="I174" s="16" t="str">
        <f>_xlfn.XLOOKUP(Table1[[#This Row],[VIM]],'[1]BASE DE VIM''s-NF''s'!F:F,'[1]BASE DE VIM''s-NF''s'!A:A,"")</f>
        <v/>
      </c>
      <c r="J174" s="15" t="str">
        <f>_xlfn.XLOOKUP(Table1[[#This Row],[VIM]],'[1]BASE DE VIM''s-NF''s'!F:F,'[1]BASE DE VIM''s-NF''s'!L:L,"")</f>
        <v/>
      </c>
      <c r="K174" s="15" t="s">
        <v>276</v>
      </c>
      <c r="L174" s="15" t="s">
        <v>275</v>
      </c>
      <c r="M174" s="14" t="s">
        <v>236</v>
      </c>
    </row>
    <row r="175" spans="1:13" x14ac:dyDescent="0.3">
      <c r="A175" s="24">
        <v>46107</v>
      </c>
      <c r="B175" s="25"/>
      <c r="C175" s="11" t="s">
        <v>10</v>
      </c>
      <c r="D175" s="17" t="s">
        <v>185</v>
      </c>
      <c r="E175" s="12" t="s">
        <v>109</v>
      </c>
      <c r="F175" s="13">
        <v>1078606876</v>
      </c>
      <c r="G175" s="14">
        <v>4501731331</v>
      </c>
      <c r="H175" s="15">
        <f>IF(Table1[[#This Row],[PEDIDO]]&lt;&gt;"",_xlfn.XLOOKUP(Table1[[#This Row],[PEDIDO]],'[1]BASE DE VIM''s-NF''s'!I:I,'[1]BASE DE VIM''s-NF''s'!F:F,"-"),"-")</f>
        <v>2990028</v>
      </c>
      <c r="I175" s="16" t="s">
        <v>272</v>
      </c>
      <c r="J175" s="15" t="str">
        <f>_xlfn.XLOOKUP(Table1[[#This Row],[VIM]],'[1]BASE DE VIM''s-NF''s'!F:F,'[1]BASE DE VIM''s-NF''s'!L:L,"")</f>
        <v>000003414-1</v>
      </c>
      <c r="K175" s="15" t="str">
        <f>_xlfn.XLOOKUP(Table1[[#This Row],[VIM]],'[1]BASE DE VIM''s-NF''s'!F:F,'[1]BASE DE VIM''s-NF''s'!G:G,"")</f>
        <v>ZAP USINAGEM E CALDEIRARIA</v>
      </c>
      <c r="L175" s="15" t="str">
        <f>_xlfn.XLOOKUP(Table1[[#This Row],[PEDIDO]],'[1]BASE DE VIM''s-NF''s'!I:I,'[1]BASE DE VIM''s-NF''s'!R:R,"")</f>
        <v>7,890.00</v>
      </c>
      <c r="M175" s="14" t="s">
        <v>236</v>
      </c>
    </row>
    <row r="176" spans="1:13" x14ac:dyDescent="0.3">
      <c r="A176" s="24">
        <v>46107</v>
      </c>
      <c r="B176" s="25"/>
      <c r="C176" s="11" t="s">
        <v>25</v>
      </c>
      <c r="D176" s="17" t="s">
        <v>186</v>
      </c>
      <c r="E176" s="12" t="s">
        <v>109</v>
      </c>
      <c r="F176" s="13">
        <v>1078628144</v>
      </c>
      <c r="G176" s="14">
        <v>4501731532</v>
      </c>
      <c r="H176" s="15" t="str">
        <f>IF(Table1[[#This Row],[PEDIDO]]&lt;&gt;"",_xlfn.XLOOKUP(Table1[[#This Row],[PEDIDO]],'[1]BASE DE VIM''s-NF''s'!I:I,'[1]BASE DE VIM''s-NF''s'!F:F,"-"),"-")</f>
        <v>-</v>
      </c>
      <c r="I176" s="16" t="str">
        <f>_xlfn.XLOOKUP(Table1[[#This Row],[VIM]],'[1]BASE DE VIM''s-NF''s'!F:F,'[1]BASE DE VIM''s-NF''s'!A:A,"")</f>
        <v/>
      </c>
      <c r="J176" s="15" t="str">
        <f>_xlfn.XLOOKUP(Table1[[#This Row],[VIM]],'[1]BASE DE VIM''s-NF''s'!F:F,'[1]BASE DE VIM''s-NF''s'!L:L,"")</f>
        <v/>
      </c>
      <c r="K176" s="15" t="s">
        <v>277</v>
      </c>
      <c r="L176" s="15" t="s">
        <v>278</v>
      </c>
      <c r="M176" s="14" t="s">
        <v>236</v>
      </c>
    </row>
    <row r="177" spans="1:13" x14ac:dyDescent="0.3">
      <c r="A177" s="24">
        <v>46114</v>
      </c>
      <c r="B177" s="25" t="s">
        <v>228</v>
      </c>
      <c r="C177" s="11" t="s">
        <v>10</v>
      </c>
      <c r="D177" s="17" t="s">
        <v>187</v>
      </c>
      <c r="E177" s="12" t="s">
        <v>109</v>
      </c>
      <c r="F177" s="13">
        <v>1078644141</v>
      </c>
      <c r="G177" s="14">
        <v>4501731799</v>
      </c>
      <c r="H177" s="15">
        <f>IF(Table1[[#This Row],[PEDIDO]]&lt;&gt;"",_xlfn.XLOOKUP(Table1[[#This Row],[PEDIDO]],'[1]BASE DE VIM''s-NF''s'!I:I,'[1]BASE DE VIM''s-NF''s'!F:F,"-"),"-")</f>
        <v>2981951</v>
      </c>
      <c r="I177" s="16" t="str">
        <f>_xlfn.XLOOKUP(Table1[[#This Row],[VIM]],'[1]BASE DE VIM''s-NF''s'!F:F,'[1]BASE DE VIM''s-NF''s'!A:A,"")</f>
        <v>Lançado</v>
      </c>
      <c r="J177" s="15" t="str">
        <f>_xlfn.XLOOKUP(Table1[[#This Row],[VIM]],'[1]BASE DE VIM''s-NF''s'!F:F,'[1]BASE DE VIM''s-NF''s'!L:L,"")</f>
        <v>000009442-1</v>
      </c>
      <c r="K177" s="15" t="str">
        <f>_xlfn.XLOOKUP(Table1[[#This Row],[VIM]],'[1]BASE DE VIM''s-NF''s'!F:F,'[1]BASE DE VIM''s-NF''s'!G:G,"")</f>
        <v>AIRGAS BRASIL REPRESENTACAO</v>
      </c>
      <c r="L177" s="15" t="str">
        <f>_xlfn.XLOOKUP(Table1[[#This Row],[PEDIDO]],'[1]BASE DE VIM''s-NF''s'!I:I,'[1]BASE DE VIM''s-NF''s'!R:R,"")</f>
        <v>894.85</v>
      </c>
      <c r="M177" s="14" t="s">
        <v>12</v>
      </c>
    </row>
    <row r="178" spans="1:13" x14ac:dyDescent="0.3">
      <c r="A178" s="24">
        <v>46119</v>
      </c>
      <c r="B178" s="25" t="s">
        <v>227</v>
      </c>
      <c r="C178" s="11" t="s">
        <v>10</v>
      </c>
      <c r="D178" s="17" t="s">
        <v>188</v>
      </c>
      <c r="E178" s="12" t="s">
        <v>109</v>
      </c>
      <c r="F178" s="13">
        <v>1078654285</v>
      </c>
      <c r="G178" s="14">
        <v>4501732473</v>
      </c>
      <c r="H178" s="15">
        <f>IF(Table1[[#This Row],[PEDIDO]]&lt;&gt;"",_xlfn.XLOOKUP(Table1[[#This Row],[PEDIDO]],'[1]BASE DE VIM''s-NF''s'!I:I,'[1]BASE DE VIM''s-NF''s'!F:F,"-"),"-")</f>
        <v>2986447</v>
      </c>
      <c r="I178" s="16"/>
      <c r="J178" s="15" t="str">
        <f>_xlfn.XLOOKUP(Table1[[#This Row],[VIM]],'[1]BASE DE VIM''s-NF''s'!F:F,'[1]BASE DE VIM''s-NF''s'!L:L,"")</f>
        <v>000136560-1</v>
      </c>
      <c r="K178" s="15" t="str">
        <f>_xlfn.XLOOKUP(Table1[[#This Row],[VIM]],'[1]BASE DE VIM''s-NF''s'!F:F,'[1]BASE DE VIM''s-NF''s'!G:G,"")</f>
        <v>TIAGO DE BROI EIRELI EPP.</v>
      </c>
      <c r="L178" s="15" t="str">
        <f>_xlfn.XLOOKUP(Table1[[#This Row],[PEDIDO]],'[1]BASE DE VIM''s-NF''s'!I:I,'[1]BASE DE VIM''s-NF''s'!R:R,"")</f>
        <v>1,570.96</v>
      </c>
      <c r="M178" s="14" t="s">
        <v>12</v>
      </c>
    </row>
    <row r="179" spans="1:13" x14ac:dyDescent="0.3">
      <c r="A179" s="24">
        <v>46119</v>
      </c>
      <c r="B179" s="25" t="s">
        <v>228</v>
      </c>
      <c r="C179" s="11" t="s">
        <v>10</v>
      </c>
      <c r="D179" s="17" t="s">
        <v>189</v>
      </c>
      <c r="E179" s="12" t="s">
        <v>109</v>
      </c>
      <c r="F179" s="13">
        <v>1078654286</v>
      </c>
      <c r="G179" s="14">
        <v>4501732485</v>
      </c>
      <c r="H179" s="15">
        <f>IF(Table1[[#This Row],[PEDIDO]]&lt;&gt;"",_xlfn.XLOOKUP(Table1[[#This Row],[PEDIDO]],'[1]BASE DE VIM''s-NF''s'!I:I,'[1]BASE DE VIM''s-NF''s'!F:F,"-"),"-")</f>
        <v>2991368</v>
      </c>
      <c r="I179" s="16"/>
      <c r="J179" s="15" t="str">
        <f>_xlfn.XLOOKUP(Table1[[#This Row],[VIM]],'[1]BASE DE VIM''s-NF''s'!F:F,'[1]BASE DE VIM''s-NF''s'!L:L,"")</f>
        <v>000136741-1</v>
      </c>
      <c r="K179" s="15" t="str">
        <f>_xlfn.XLOOKUP(Table1[[#This Row],[VIM]],'[1]BASE DE VIM''s-NF''s'!F:F,'[1]BASE DE VIM''s-NF''s'!G:G,"")</f>
        <v>TIAGO DE BROI EIRELI EPP.</v>
      </c>
      <c r="L179" s="15" t="str">
        <f>_xlfn.XLOOKUP(Table1[[#This Row],[PEDIDO]],'[1]BASE DE VIM''s-NF''s'!I:I,'[1]BASE DE VIM''s-NF''s'!R:R,"")</f>
        <v>1,181.78</v>
      </c>
      <c r="M179" s="14" t="s">
        <v>12</v>
      </c>
    </row>
    <row r="180" spans="1:13" x14ac:dyDescent="0.3">
      <c r="A180" s="24">
        <v>46119</v>
      </c>
      <c r="B180" s="25" t="s">
        <v>228</v>
      </c>
      <c r="C180" s="11" t="s">
        <v>10</v>
      </c>
      <c r="D180" s="17" t="s">
        <v>190</v>
      </c>
      <c r="E180" s="12" t="s">
        <v>109</v>
      </c>
      <c r="F180" s="13">
        <v>1078654287</v>
      </c>
      <c r="G180" s="14">
        <v>4501732487</v>
      </c>
      <c r="H180" s="15">
        <f>IF(Table1[[#This Row],[PEDIDO]]&lt;&gt;"",_xlfn.XLOOKUP(Table1[[#This Row],[PEDIDO]],'[1]BASE DE VIM''s-NF''s'!I:I,'[1]BASE DE VIM''s-NF''s'!F:F,"-"),"-")</f>
        <v>2996519</v>
      </c>
      <c r="I180" s="16" t="str">
        <f>_xlfn.XLOOKUP(Table1[[#This Row],[VIM]],'[1]BASE DE VIM''s-NF''s'!F:F,'[1]BASE DE VIM''s-NF''s'!A:A,"")</f>
        <v>Aguardando DANFE (PORTARIA)</v>
      </c>
      <c r="J180" s="15" t="str">
        <f>_xlfn.XLOOKUP(Table1[[#This Row],[VIM]],'[1]BASE DE VIM''s-NF''s'!F:F,'[1]BASE DE VIM''s-NF''s'!L:L,"")</f>
        <v>000137977-1</v>
      </c>
      <c r="K180" s="15" t="str">
        <f>_xlfn.XLOOKUP(Table1[[#This Row],[VIM]],'[1]BASE DE VIM''s-NF''s'!F:F,'[1]BASE DE VIM''s-NF''s'!G:G,"")</f>
        <v>TIAGO DE BROI EIRELI EPP.</v>
      </c>
      <c r="L180" s="15" t="str">
        <f>_xlfn.XLOOKUP(Table1[[#This Row],[PEDIDO]],'[1]BASE DE VIM''s-NF''s'!I:I,'[1]BASE DE VIM''s-NF''s'!R:R,"")</f>
        <v>1,944.77</v>
      </c>
      <c r="M180" s="14" t="s">
        <v>236</v>
      </c>
    </row>
    <row r="181" spans="1:13" x14ac:dyDescent="0.3">
      <c r="A181" s="24">
        <v>46122</v>
      </c>
      <c r="B181" s="25" t="s">
        <v>228</v>
      </c>
      <c r="C181" s="11" t="s">
        <v>10</v>
      </c>
      <c r="D181" s="17" t="s">
        <v>191</v>
      </c>
      <c r="E181" s="12" t="s">
        <v>109</v>
      </c>
      <c r="F181" s="13">
        <v>1078689333</v>
      </c>
      <c r="G181" s="14">
        <v>4501732642</v>
      </c>
      <c r="H181" s="15">
        <f>IF(Table1[[#This Row],[PEDIDO]]&lt;&gt;"",_xlfn.XLOOKUP(Table1[[#This Row],[PEDIDO]],'[1]BASE DE VIM''s-NF''s'!I:I,'[1]BASE DE VIM''s-NF''s'!F:F,"-"),"-")</f>
        <v>2985551</v>
      </c>
      <c r="I181" s="16"/>
      <c r="J181" s="15" t="str">
        <f>_xlfn.XLOOKUP(Table1[[#This Row],[VIM]],'[1]BASE DE VIM''s-NF''s'!F:F,'[1]BASE DE VIM''s-NF''s'!L:L,"")</f>
        <v>001567713-3</v>
      </c>
      <c r="K181" s="15" t="str">
        <f>_xlfn.XLOOKUP(Table1[[#This Row],[VIM]],'[1]BASE DE VIM''s-NF''s'!F:F,'[1]BASE DE VIM''s-NF''s'!G:G,"")</f>
        <v>ANHANGUERA COMERCIO DE</v>
      </c>
      <c r="L181" s="15" t="str">
        <f>_xlfn.XLOOKUP(Table1[[#This Row],[PEDIDO]],'[1]BASE DE VIM''s-NF''s'!I:I,'[1]BASE DE VIM''s-NF''s'!R:R,"")</f>
        <v>4,088.39</v>
      </c>
      <c r="M181" s="14" t="s">
        <v>12</v>
      </c>
    </row>
    <row r="182" spans="1:13" x14ac:dyDescent="0.3">
      <c r="A182" s="24">
        <v>46122</v>
      </c>
      <c r="B182" s="25" t="s">
        <v>228</v>
      </c>
      <c r="C182" s="11" t="s">
        <v>10</v>
      </c>
      <c r="D182" s="17" t="s">
        <v>192</v>
      </c>
      <c r="E182" s="12" t="s">
        <v>109</v>
      </c>
      <c r="F182" s="13">
        <v>1078689330</v>
      </c>
      <c r="G182" s="14">
        <v>4501732662</v>
      </c>
      <c r="H182" s="15">
        <f>IF(Table1[[#This Row],[PEDIDO]]&lt;&gt;"",_xlfn.XLOOKUP(Table1[[#This Row],[PEDIDO]],'[1]BASE DE VIM''s-NF''s'!I:I,'[1]BASE DE VIM''s-NF''s'!F:F,"-"),"-")</f>
        <v>2992038</v>
      </c>
      <c r="I182" s="16"/>
      <c r="J182" s="15" t="str">
        <f>_xlfn.XLOOKUP(Table1[[#This Row],[VIM]],'[1]BASE DE VIM''s-NF''s'!F:F,'[1]BASE DE VIM''s-NF''s'!L:L,"")</f>
        <v>000137305-1</v>
      </c>
      <c r="K182" s="15" t="str">
        <f>_xlfn.XLOOKUP(Table1[[#This Row],[VIM]],'[1]BASE DE VIM''s-NF''s'!F:F,'[1]BASE DE VIM''s-NF''s'!G:G,"")</f>
        <v>TIAGO DE BROI EIRELI EPP.</v>
      </c>
      <c r="L182" s="15" t="str">
        <f>_xlfn.XLOOKUP(Table1[[#This Row],[PEDIDO]],'[1]BASE DE VIM''s-NF''s'!I:I,'[1]BASE DE VIM''s-NF''s'!R:R,"")</f>
        <v>7,189.50</v>
      </c>
      <c r="M182" s="14" t="s">
        <v>236</v>
      </c>
    </row>
    <row r="183" spans="1:13" x14ac:dyDescent="0.3">
      <c r="A183" s="24">
        <v>46140</v>
      </c>
      <c r="B183" s="25" t="s">
        <v>227</v>
      </c>
      <c r="C183" s="11" t="s">
        <v>25</v>
      </c>
      <c r="D183" s="17" t="s">
        <v>193</v>
      </c>
      <c r="E183" s="12" t="s">
        <v>109</v>
      </c>
      <c r="F183" s="13">
        <v>1078761724</v>
      </c>
      <c r="G183" s="14">
        <v>4501735260</v>
      </c>
      <c r="H183" s="15">
        <f>IF(Table1[[#This Row],[PEDIDO]]&lt;&gt;"",_xlfn.XLOOKUP(Table1[[#This Row],[PEDIDO]],'[1]BASE DE VIM''s-NF''s'!I:I,'[1]BASE DE VIM''s-NF''s'!F:F,"-"),"-")</f>
        <v>2997775</v>
      </c>
      <c r="I183" s="16" t="str">
        <f>_xlfn.XLOOKUP(Table1[[#This Row],[VIM]],'[1]BASE DE VIM''s-NF''s'!F:F,'[1]BASE DE VIM''s-NF''s'!A:A,"")</f>
        <v>Faturamento Incorreto (COMPRAS)</v>
      </c>
      <c r="J183" s="15" t="str">
        <f>_xlfn.XLOOKUP(Table1[[#This Row],[VIM]],'[1]BASE DE VIM''s-NF''s'!F:F,'[1]BASE DE VIM''s-NF''s'!L:L,"")</f>
        <v>000503493-2</v>
      </c>
      <c r="K183" s="15" t="str">
        <f>_xlfn.XLOOKUP(Table1[[#This Row],[VIM]],'[1]BASE DE VIM''s-NF''s'!F:F,'[1]BASE DE VIM''s-NF''s'!G:G,"")</f>
        <v>CYKLOP DO BRASIL EMBALAGENS SA.</v>
      </c>
      <c r="L183" s="15" t="str">
        <f>_xlfn.XLOOKUP(Table1[[#This Row],[PEDIDO]],'[1]BASE DE VIM''s-NF''s'!I:I,'[1]BASE DE VIM''s-NF''s'!R:R,"")</f>
        <v>9,880.00</v>
      </c>
      <c r="M183" s="14" t="s">
        <v>236</v>
      </c>
    </row>
    <row r="184" spans="1:13" x14ac:dyDescent="0.3">
      <c r="A184" s="24">
        <v>46128</v>
      </c>
      <c r="B184" s="25" t="s">
        <v>227</v>
      </c>
      <c r="C184" s="11" t="s">
        <v>10</v>
      </c>
      <c r="D184" s="17" t="s">
        <v>194</v>
      </c>
      <c r="E184" s="12" t="s">
        <v>109</v>
      </c>
      <c r="F184" s="13">
        <v>1078711915</v>
      </c>
      <c r="G184" s="14">
        <v>4501733636</v>
      </c>
      <c r="H184" s="15">
        <f>IF(Table1[[#This Row],[PEDIDO]]&lt;&gt;"",_xlfn.XLOOKUP(Table1[[#This Row],[PEDIDO]],'[1]BASE DE VIM''s-NF''s'!I:I,'[1]BASE DE VIM''s-NF''s'!F:F,"-"),"-")</f>
        <v>2993569</v>
      </c>
      <c r="I184" s="16" t="s">
        <v>272</v>
      </c>
      <c r="J184" s="15" t="str">
        <f>_xlfn.XLOOKUP(Table1[[#This Row],[VIM]],'[1]BASE DE VIM''s-NF''s'!F:F,'[1]BASE DE VIM''s-NF''s'!L:L,"")</f>
        <v>000137541-1</v>
      </c>
      <c r="K184" s="15" t="str">
        <f>_xlfn.XLOOKUP(Table1[[#This Row],[VIM]],'[1]BASE DE VIM''s-NF''s'!F:F,'[1]BASE DE VIM''s-NF''s'!G:G,"")</f>
        <v>TIAGO DE BROI EIRELI EPP.</v>
      </c>
      <c r="L184" s="15" t="str">
        <f>_xlfn.XLOOKUP(Table1[[#This Row],[PEDIDO]],'[1]BASE DE VIM''s-NF''s'!I:I,'[1]BASE DE VIM''s-NF''s'!R:R,"")</f>
        <v>876.80</v>
      </c>
      <c r="M184" s="14" t="s">
        <v>236</v>
      </c>
    </row>
    <row r="185" spans="1:13" x14ac:dyDescent="0.3">
      <c r="A185" s="24">
        <v>46128</v>
      </c>
      <c r="B185" s="25" t="s">
        <v>228</v>
      </c>
      <c r="C185" s="11" t="s">
        <v>10</v>
      </c>
      <c r="D185" s="17" t="s">
        <v>195</v>
      </c>
      <c r="E185" s="12" t="s">
        <v>109</v>
      </c>
      <c r="F185" s="13">
        <v>1078711917</v>
      </c>
      <c r="G185" s="14">
        <v>4501733622</v>
      </c>
      <c r="H185" s="15">
        <f>IF(Table1[[#This Row],[PEDIDO]]&lt;&gt;"",_xlfn.XLOOKUP(Table1[[#This Row],[PEDIDO]],'[1]BASE DE VIM''s-NF''s'!I:I,'[1]BASE DE VIM''s-NF''s'!F:F,"-"),"-")</f>
        <v>2989889</v>
      </c>
      <c r="I185" s="16"/>
      <c r="J185" s="15" t="str">
        <f>_xlfn.XLOOKUP(Table1[[#This Row],[VIM]],'[1]BASE DE VIM''s-NF''s'!F:F,'[1]BASE DE VIM''s-NF''s'!L:L,"")</f>
        <v>001571280-3</v>
      </c>
      <c r="K185" s="15" t="str">
        <f>_xlfn.XLOOKUP(Table1[[#This Row],[VIM]],'[1]BASE DE VIM''s-NF''s'!F:F,'[1]BASE DE VIM''s-NF''s'!G:G,"")</f>
        <v>ANHANGUERA COMERCIO DE</v>
      </c>
      <c r="L185" s="15" t="str">
        <f>_xlfn.XLOOKUP(Table1[[#This Row],[PEDIDO]],'[1]BASE DE VIM''s-NF''s'!I:I,'[1]BASE DE VIM''s-NF''s'!R:R,"")</f>
        <v>2,304.32</v>
      </c>
      <c r="M185" s="14" t="s">
        <v>12</v>
      </c>
    </row>
    <row r="186" spans="1:13" x14ac:dyDescent="0.3">
      <c r="A186" s="24">
        <v>46128</v>
      </c>
      <c r="B186" s="25" t="s">
        <v>228</v>
      </c>
      <c r="C186" s="11" t="s">
        <v>10</v>
      </c>
      <c r="D186" s="17" t="s">
        <v>196</v>
      </c>
      <c r="E186" s="12" t="s">
        <v>109</v>
      </c>
      <c r="F186" s="13">
        <v>1078708028</v>
      </c>
      <c r="G186" s="14">
        <v>4501733619</v>
      </c>
      <c r="H186" s="15">
        <f>IF(Table1[[#This Row],[PEDIDO]]&lt;&gt;"",_xlfn.XLOOKUP(Table1[[#This Row],[PEDIDO]],'[1]BASE DE VIM''s-NF''s'!I:I,'[1]BASE DE VIM''s-NF''s'!F:F,"-"),"-")</f>
        <v>2991369</v>
      </c>
      <c r="I186" s="16"/>
      <c r="J186" s="15" t="str">
        <f>_xlfn.XLOOKUP(Table1[[#This Row],[VIM]],'[1]BASE DE VIM''s-NF''s'!F:F,'[1]BASE DE VIM''s-NF''s'!L:L,"")</f>
        <v>000136907-1</v>
      </c>
      <c r="K186" s="15" t="str">
        <f>_xlfn.XLOOKUP(Table1[[#This Row],[VIM]],'[1]BASE DE VIM''s-NF''s'!F:F,'[1]BASE DE VIM''s-NF''s'!G:G,"")</f>
        <v>TIAGO DE BROI EIRELI EPP.</v>
      </c>
      <c r="L186" s="15" t="str">
        <f>_xlfn.XLOOKUP(Table1[[#This Row],[PEDIDO]],'[1]BASE DE VIM''s-NF''s'!I:I,'[1]BASE DE VIM''s-NF''s'!R:R,"")</f>
        <v>1,893.20</v>
      </c>
      <c r="M186" s="14" t="s">
        <v>12</v>
      </c>
    </row>
    <row r="187" spans="1:13" x14ac:dyDescent="0.3">
      <c r="A187" s="24">
        <v>46129</v>
      </c>
      <c r="B187" s="25" t="s">
        <v>228</v>
      </c>
      <c r="C187" s="11" t="s">
        <v>10</v>
      </c>
      <c r="D187" s="17" t="s">
        <v>197</v>
      </c>
      <c r="E187" s="12" t="s">
        <v>109</v>
      </c>
      <c r="F187" s="13">
        <v>1078718990</v>
      </c>
      <c r="G187" s="14">
        <v>4501733865</v>
      </c>
      <c r="H187" s="15">
        <f>IF(Table1[[#This Row],[PEDIDO]]&lt;&gt;"",_xlfn.XLOOKUP(Table1[[#This Row],[PEDIDO]],'[1]BASE DE VIM''s-NF''s'!I:I,'[1]BASE DE VIM''s-NF''s'!F:F,"-"),"-")</f>
        <v>2990272</v>
      </c>
      <c r="I187" s="16" t="str">
        <f>_xlfn.XLOOKUP(Table1[[#This Row],[VIM]],'[1]BASE DE VIM''s-NF''s'!F:F,'[1]BASE DE VIM''s-NF''s'!A:A,"")</f>
        <v>Lançado</v>
      </c>
      <c r="J187" s="15" t="str">
        <f>_xlfn.XLOOKUP(Table1[[#This Row],[VIM]],'[1]BASE DE VIM''s-NF''s'!F:F,'[1]BASE DE VIM''s-NF''s'!L:L,"")</f>
        <v>000020083-2</v>
      </c>
      <c r="K187" s="15" t="str">
        <f>_xlfn.XLOOKUP(Table1[[#This Row],[VIM]],'[1]BASE DE VIM''s-NF''s'!F:F,'[1]BASE DE VIM''s-NF''s'!G:G,"")</f>
        <v>LIFTEC BRASIL SUPRIMENTOS</v>
      </c>
      <c r="L187" s="15" t="str">
        <f>_xlfn.XLOOKUP(Table1[[#This Row],[PEDIDO]],'[1]BASE DE VIM''s-NF''s'!I:I,'[1]BASE DE VIM''s-NF''s'!R:R,"")</f>
        <v>1,568.07</v>
      </c>
      <c r="M187" s="14" t="s">
        <v>12</v>
      </c>
    </row>
    <row r="188" spans="1:13" x14ac:dyDescent="0.3">
      <c r="A188" s="24">
        <v>46129</v>
      </c>
      <c r="B188" s="25" t="s">
        <v>228</v>
      </c>
      <c r="C188" s="11" t="s">
        <v>10</v>
      </c>
      <c r="D188" s="17" t="s">
        <v>87</v>
      </c>
      <c r="E188" s="12" t="s">
        <v>109</v>
      </c>
      <c r="F188" s="13">
        <v>1078718991</v>
      </c>
      <c r="G188" s="14">
        <v>4501733867</v>
      </c>
      <c r="H188" s="15">
        <f>IF(Table1[[#This Row],[PEDIDO]]&lt;&gt;"",_xlfn.XLOOKUP(Table1[[#This Row],[PEDIDO]],'[1]BASE DE VIM''s-NF''s'!I:I,'[1]BASE DE VIM''s-NF''s'!F:F,"-"),"-")</f>
        <v>2992738</v>
      </c>
      <c r="I188" s="16"/>
      <c r="J188" s="15" t="str">
        <f>_xlfn.XLOOKUP(Table1[[#This Row],[VIM]],'[1]BASE DE VIM''s-NF''s'!F:F,'[1]BASE DE VIM''s-NF''s'!L:L,"")</f>
        <v>000137413-1</v>
      </c>
      <c r="K188" s="15" t="str">
        <f>_xlfn.XLOOKUP(Table1[[#This Row],[VIM]],'[1]BASE DE VIM''s-NF''s'!F:F,'[1]BASE DE VIM''s-NF''s'!G:G,"")</f>
        <v>TIAGO DE BROI EIRELI EPP.</v>
      </c>
      <c r="L188" s="15" t="str">
        <f>_xlfn.XLOOKUP(Table1[[#This Row],[PEDIDO]],'[1]BASE DE VIM''s-NF''s'!I:I,'[1]BASE DE VIM''s-NF''s'!R:R,"")</f>
        <v>2,195.00</v>
      </c>
      <c r="M188" s="14" t="s">
        <v>12</v>
      </c>
    </row>
    <row r="189" spans="1:13" x14ac:dyDescent="0.3">
      <c r="A189" s="24">
        <v>46135</v>
      </c>
      <c r="B189" s="25" t="s">
        <v>228</v>
      </c>
      <c r="C189" s="11" t="s">
        <v>10</v>
      </c>
      <c r="D189" s="17" t="s">
        <v>198</v>
      </c>
      <c r="E189" s="12" t="s">
        <v>109</v>
      </c>
      <c r="F189" s="13">
        <v>1078735748</v>
      </c>
      <c r="G189" s="14">
        <v>4501734128</v>
      </c>
      <c r="H189" s="15">
        <f>IF(Table1[[#This Row],[PEDIDO]]&lt;&gt;"",_xlfn.XLOOKUP(Table1[[#This Row],[PEDIDO]],'[1]BASE DE VIM''s-NF''s'!I:I,'[1]BASE DE VIM''s-NF''s'!F:F,"-"),"-")</f>
        <v>2992797</v>
      </c>
      <c r="I189" s="16" t="s">
        <v>272</v>
      </c>
      <c r="J189" s="15" t="str">
        <f>_xlfn.XLOOKUP(Table1[[#This Row],[VIM]],'[1]BASE DE VIM''s-NF''s'!F:F,'[1]BASE DE VIM''s-NF''s'!L:L,"")</f>
        <v>000056361-1</v>
      </c>
      <c r="K189" s="15" t="str">
        <f>_xlfn.XLOOKUP(Table1[[#This Row],[VIM]],'[1]BASE DE VIM''s-NF''s'!F:F,'[1]BASE DE VIM''s-NF''s'!G:G,"")</f>
        <v>OXIGENIO JUNDIAI COML. DE GASES</v>
      </c>
      <c r="L189" s="15" t="str">
        <f>_xlfn.XLOOKUP(Table1[[#This Row],[PEDIDO]],'[1]BASE DE VIM''s-NF''s'!I:I,'[1]BASE DE VIM''s-NF''s'!R:R,"")</f>
        <v>1,395.00</v>
      </c>
      <c r="M189" s="14" t="s">
        <v>236</v>
      </c>
    </row>
    <row r="190" spans="1:13" x14ac:dyDescent="0.3">
      <c r="A190" s="24">
        <v>46136</v>
      </c>
      <c r="B190" s="25" t="s">
        <v>227</v>
      </c>
      <c r="C190" s="11" t="s">
        <v>10</v>
      </c>
      <c r="D190" s="17" t="s">
        <v>199</v>
      </c>
      <c r="E190" s="12" t="s">
        <v>109</v>
      </c>
      <c r="F190" s="13">
        <v>1078743588</v>
      </c>
      <c r="G190" s="14">
        <v>4501734165</v>
      </c>
      <c r="H190" s="15"/>
      <c r="I190" s="16"/>
      <c r="J190" s="15">
        <f>_xlfn.XLOOKUP(Table1[[#This Row],[VIM]],'[1]BASE DE VIM''s-NF''s'!F:F,'[1]BASE DE VIM''s-NF''s'!L:L,"")</f>
        <v>0</v>
      </c>
      <c r="K190" s="15" t="s">
        <v>271</v>
      </c>
      <c r="L190" s="15" t="s">
        <v>282</v>
      </c>
      <c r="M190" s="14" t="s">
        <v>12</v>
      </c>
    </row>
    <row r="191" spans="1:13" ht="27.6" x14ac:dyDescent="0.3">
      <c r="A191" s="24">
        <v>46136</v>
      </c>
      <c r="B191" s="25" t="s">
        <v>228</v>
      </c>
      <c r="C191" s="11" t="s">
        <v>10</v>
      </c>
      <c r="D191" s="17" t="s">
        <v>200</v>
      </c>
      <c r="E191" s="12" t="s">
        <v>109</v>
      </c>
      <c r="F191" s="13">
        <v>1078743591</v>
      </c>
      <c r="G191" s="14">
        <v>4501734289</v>
      </c>
      <c r="H191" s="15">
        <f>IF(Table1[[#This Row],[PEDIDO]]&lt;&gt;"",_xlfn.XLOOKUP(Table1[[#This Row],[PEDIDO]],'[1]BASE DE VIM''s-NF''s'!I:I,'[1]BASE DE VIM''s-NF''s'!F:F,"-"),"-")</f>
        <v>2997379</v>
      </c>
      <c r="I191" s="16" t="str">
        <f>_xlfn.XLOOKUP(Table1[[#This Row],[VIM]],'[1]BASE DE VIM''s-NF''s'!F:F,'[1]BASE DE VIM''s-NF''s'!A:A,"")</f>
        <v>Aguardando DANFE (PORTARIA)</v>
      </c>
      <c r="J191" s="15" t="str">
        <f>_xlfn.XLOOKUP(Table1[[#This Row],[VIM]],'[1]BASE DE VIM''s-NF''s'!F:F,'[1]BASE DE VIM''s-NF''s'!L:L,"")</f>
        <v>001590447-3</v>
      </c>
      <c r="K191" s="15" t="str">
        <f>_xlfn.XLOOKUP(Table1[[#This Row],[VIM]],'[1]BASE DE VIM''s-NF''s'!F:F,'[1]BASE DE VIM''s-NF''s'!G:G,"")</f>
        <v>ANHANGUERA COMERCIO DE</v>
      </c>
      <c r="L191" s="15" t="str">
        <f>_xlfn.XLOOKUP(Table1[[#This Row],[PEDIDO]],'[1]BASE DE VIM''s-NF''s'!I:I,'[1]BASE DE VIM''s-NF''s'!R:R,"")</f>
        <v>10,084.67</v>
      </c>
      <c r="M191" s="14" t="s">
        <v>236</v>
      </c>
    </row>
    <row r="192" spans="1:13" x14ac:dyDescent="0.3">
      <c r="A192" s="24">
        <v>46140</v>
      </c>
      <c r="B192" s="25" t="s">
        <v>227</v>
      </c>
      <c r="C192" s="11" t="s">
        <v>25</v>
      </c>
      <c r="D192" s="17" t="s">
        <v>201</v>
      </c>
      <c r="E192" s="12" t="s">
        <v>109</v>
      </c>
      <c r="F192" s="13">
        <v>1078761728</v>
      </c>
      <c r="G192" s="14">
        <v>4501730163</v>
      </c>
      <c r="H192" s="15">
        <f>IF(Table1[[#This Row],[PEDIDO]]&lt;&gt;"",_xlfn.XLOOKUP(Table1[[#This Row],[PEDIDO]],'[1]BASE DE VIM''s-NF''s'!I:I,'[1]BASE DE VIM''s-NF''s'!F:F,"-"),"-")</f>
        <v>2990814</v>
      </c>
      <c r="I192" s="16"/>
      <c r="J192" s="15" t="str">
        <f>_xlfn.XLOOKUP(Table1[[#This Row],[VIM]],'[1]BASE DE VIM''s-NF''s'!F:F,'[1]BASE DE VIM''s-NF''s'!L:L,"")</f>
        <v>000007070-0</v>
      </c>
      <c r="K192" s="15" t="str">
        <f>_xlfn.XLOOKUP(Table1[[#This Row],[VIM]],'[1]BASE DE VIM''s-NF''s'!F:F,'[1]BASE DE VIM''s-NF''s'!G:G,"")</f>
        <v>RZR - BOMBAS POSITIVAS LTDA. EPP.</v>
      </c>
      <c r="L192" s="15" t="str">
        <f>_xlfn.XLOOKUP(Table1[[#This Row],[PEDIDO]],'[1]BASE DE VIM''s-NF''s'!I:I,'[1]BASE DE VIM''s-NF''s'!R:R,"")</f>
        <v>18,795.00</v>
      </c>
      <c r="M192" s="14" t="s">
        <v>236</v>
      </c>
    </row>
    <row r="193" spans="1:13" x14ac:dyDescent="0.3">
      <c r="A193" s="24">
        <v>46140</v>
      </c>
      <c r="B193" s="25" t="s">
        <v>228</v>
      </c>
      <c r="C193" s="11" t="s">
        <v>13</v>
      </c>
      <c r="D193" s="17" t="s">
        <v>202</v>
      </c>
      <c r="E193" s="12" t="s">
        <v>109</v>
      </c>
      <c r="F193" s="13">
        <v>1078761771</v>
      </c>
      <c r="G193" s="14"/>
      <c r="H193" s="15"/>
      <c r="I193" s="16">
        <f>_xlfn.XLOOKUP(Table1[[#This Row],[VIM]],'[1]BASE DE VIM''s-NF''s'!F:F,'[1]BASE DE VIM''s-NF''s'!A:A,"")</f>
        <v>0</v>
      </c>
      <c r="J193" s="15">
        <f>_xlfn.XLOOKUP(Table1[[#This Row],[VIM]],'[1]BASE DE VIM''s-NF''s'!F:F,'[1]BASE DE VIM''s-NF''s'!L:L,"")</f>
        <v>0</v>
      </c>
      <c r="K193" s="15" t="s">
        <v>264</v>
      </c>
      <c r="L193" s="15" t="s">
        <v>263</v>
      </c>
      <c r="M193" s="14" t="s">
        <v>12</v>
      </c>
    </row>
    <row r="194" spans="1:13" x14ac:dyDescent="0.3">
      <c r="A194" s="24">
        <v>46140</v>
      </c>
      <c r="B194" s="25" t="s">
        <v>228</v>
      </c>
      <c r="C194" s="11" t="s">
        <v>10</v>
      </c>
      <c r="D194" s="17" t="s">
        <v>203</v>
      </c>
      <c r="E194" s="12" t="s">
        <v>109</v>
      </c>
      <c r="F194" s="13">
        <v>1078769748</v>
      </c>
      <c r="G194" s="14">
        <v>4501734790</v>
      </c>
      <c r="H194" s="15">
        <f>IF(Table1[[#This Row],[PEDIDO]]&lt;&gt;"",_xlfn.XLOOKUP(Table1[[#This Row],[PEDIDO]],'[1]BASE DE VIM''s-NF''s'!I:I,'[1]BASE DE VIM''s-NF''s'!F:F,"-"),"-")</f>
        <v>2994237</v>
      </c>
      <c r="I194" s="16" t="str">
        <f>_xlfn.XLOOKUP(Table1[[#This Row],[VIM]],'[1]BASE DE VIM''s-NF''s'!F:F,'[1]BASE DE VIM''s-NF''s'!A:A,"")</f>
        <v>Aguardando DANFE (PORTARIA)</v>
      </c>
      <c r="J194" s="15" t="str">
        <f>_xlfn.XLOOKUP(Table1[[#This Row],[VIM]],'[1]BASE DE VIM''s-NF''s'!F:F,'[1]BASE DE VIM''s-NF''s'!L:L,"")</f>
        <v>001584949-3</v>
      </c>
      <c r="K194" s="15" t="str">
        <f>_xlfn.XLOOKUP(Table1[[#This Row],[VIM]],'[1]BASE DE VIM''s-NF''s'!F:F,'[1]BASE DE VIM''s-NF''s'!G:G,"")</f>
        <v>ANHANGUERA COMERCIO DE</v>
      </c>
      <c r="L194" s="15" t="str">
        <f>_xlfn.XLOOKUP(Table1[[#This Row],[PEDIDO]],'[1]BASE DE VIM''s-NF''s'!I:I,'[1]BASE DE VIM''s-NF''s'!R:R,"")</f>
        <v>3,776.01</v>
      </c>
      <c r="M194" s="14" t="s">
        <v>236</v>
      </c>
    </row>
    <row r="195" spans="1:13" x14ac:dyDescent="0.3">
      <c r="A195" s="24">
        <v>46140</v>
      </c>
      <c r="B195" s="25" t="s">
        <v>227</v>
      </c>
      <c r="C195" s="11" t="s">
        <v>10</v>
      </c>
      <c r="D195" s="17" t="s">
        <v>204</v>
      </c>
      <c r="E195" s="12" t="s">
        <v>109</v>
      </c>
      <c r="F195" s="13">
        <v>1078769749</v>
      </c>
      <c r="G195" s="14">
        <v>4501734797</v>
      </c>
      <c r="H195" s="15">
        <f>IF(Table1[[#This Row],[PEDIDO]]&lt;&gt;"",_xlfn.XLOOKUP(Table1[[#This Row],[PEDIDO]],'[1]BASE DE VIM''s-NF''s'!I:I,'[1]BASE DE VIM''s-NF''s'!F:F,"-"),"-")</f>
        <v>2994146</v>
      </c>
      <c r="I195" s="16"/>
      <c r="J195" s="15" t="str">
        <f>_xlfn.XLOOKUP(Table1[[#This Row],[VIM]],'[1]BASE DE VIM''s-NF''s'!F:F,'[1]BASE DE VIM''s-NF''s'!L:L,"")</f>
        <v>001584888-3</v>
      </c>
      <c r="K195" s="15" t="str">
        <f>_xlfn.XLOOKUP(Table1[[#This Row],[VIM]],'[1]BASE DE VIM''s-NF''s'!F:F,'[1]BASE DE VIM''s-NF''s'!G:G,"")</f>
        <v>ANHANGUERA COMERCIO DE</v>
      </c>
      <c r="L195" s="15" t="str">
        <f>_xlfn.XLOOKUP(Table1[[#This Row],[PEDIDO]],'[1]BASE DE VIM''s-NF''s'!I:I,'[1]BASE DE VIM''s-NF''s'!R:R,"")</f>
        <v>302.44</v>
      </c>
      <c r="M195" s="14" t="s">
        <v>236</v>
      </c>
    </row>
    <row r="196" spans="1:13" x14ac:dyDescent="0.3">
      <c r="A196" s="24">
        <v>46140</v>
      </c>
      <c r="B196" s="25" t="s">
        <v>228</v>
      </c>
      <c r="C196" s="11" t="s">
        <v>10</v>
      </c>
      <c r="D196" s="17" t="s">
        <v>203</v>
      </c>
      <c r="E196" s="12" t="s">
        <v>109</v>
      </c>
      <c r="F196" s="13">
        <v>1078770014</v>
      </c>
      <c r="G196" s="14">
        <v>4501734952</v>
      </c>
      <c r="H196" s="15">
        <f>IF(Table1[[#This Row],[PEDIDO]]&lt;&gt;"",_xlfn.XLOOKUP(Table1[[#This Row],[PEDIDO]],'[1]BASE DE VIM''s-NF''s'!I:I,'[1]BASE DE VIM''s-NF''s'!F:F,"-"),"-")</f>
        <v>2995745</v>
      </c>
      <c r="I196" s="16"/>
      <c r="J196" s="15" t="str">
        <f>_xlfn.XLOOKUP(Table1[[#This Row],[VIM]],'[1]BASE DE VIM''s-NF''s'!F:F,'[1]BASE DE VIM''s-NF''s'!L:L,"")</f>
        <v>000137874-1</v>
      </c>
      <c r="K196" s="15" t="str">
        <f>_xlfn.XLOOKUP(Table1[[#This Row],[VIM]],'[1]BASE DE VIM''s-NF''s'!F:F,'[1]BASE DE VIM''s-NF''s'!G:G,"")</f>
        <v>TIAGO DE BROI EIRELI EPP.</v>
      </c>
      <c r="L196" s="15" t="str">
        <f>_xlfn.XLOOKUP(Table1[[#This Row],[PEDIDO]],'[1]BASE DE VIM''s-NF''s'!I:I,'[1]BASE DE VIM''s-NF''s'!R:R,"")</f>
        <v>1,467.01</v>
      </c>
      <c r="M196" s="14" t="s">
        <v>236</v>
      </c>
    </row>
    <row r="197" spans="1:13" x14ac:dyDescent="0.3">
      <c r="A197" s="24">
        <v>46140</v>
      </c>
      <c r="B197" s="25" t="s">
        <v>228</v>
      </c>
      <c r="C197" s="11" t="s">
        <v>10</v>
      </c>
      <c r="D197" s="17" t="s">
        <v>205</v>
      </c>
      <c r="E197" s="12" t="s">
        <v>109</v>
      </c>
      <c r="F197" s="13">
        <v>1078774642</v>
      </c>
      <c r="G197" s="14">
        <v>4501735187</v>
      </c>
      <c r="H197" s="15"/>
      <c r="I197" s="16"/>
      <c r="J197" s="15">
        <f>_xlfn.XLOOKUP(Table1[[#This Row],[VIM]],'[1]BASE DE VIM''s-NF''s'!F:F,'[1]BASE DE VIM''s-NF''s'!L:L,"")</f>
        <v>0</v>
      </c>
      <c r="K197" s="15" t="s">
        <v>262</v>
      </c>
      <c r="L197" s="15" t="s">
        <v>261</v>
      </c>
      <c r="M197" s="14" t="s">
        <v>236</v>
      </c>
    </row>
    <row r="198" spans="1:13" x14ac:dyDescent="0.3">
      <c r="A198" s="24">
        <v>46147</v>
      </c>
      <c r="B198" s="25" t="s">
        <v>228</v>
      </c>
      <c r="C198" s="11" t="s">
        <v>10</v>
      </c>
      <c r="D198" s="17" t="s">
        <v>206</v>
      </c>
      <c r="E198" s="12" t="s">
        <v>109</v>
      </c>
      <c r="F198" s="13">
        <v>1078795394</v>
      </c>
      <c r="G198" s="14">
        <v>4501735412</v>
      </c>
      <c r="H198" s="15">
        <f>IF(Table1[[#This Row],[PEDIDO]]&lt;&gt;"",_xlfn.XLOOKUP(Table1[[#This Row],[PEDIDO]],'[1]BASE DE VIM''s-NF''s'!I:I,'[1]BASE DE VIM''s-NF''s'!F:F,"-"),"-")</f>
        <v>2994677</v>
      </c>
      <c r="I198" s="16" t="s">
        <v>272</v>
      </c>
      <c r="J198" s="15" t="str">
        <f>_xlfn.XLOOKUP(Table1[[#This Row],[VIM]],'[1]BASE DE VIM''s-NF''s'!F:F,'[1]BASE DE VIM''s-NF''s'!L:L,"")</f>
        <v>001585658-3</v>
      </c>
      <c r="K198" s="15" t="str">
        <f>_xlfn.XLOOKUP(Table1[[#This Row],[VIM]],'[1]BASE DE VIM''s-NF''s'!F:F,'[1]BASE DE VIM''s-NF''s'!G:G,"")</f>
        <v>ANHANGUERA COMERCIO DE</v>
      </c>
      <c r="L198" s="15" t="str">
        <f>_xlfn.XLOOKUP(Table1[[#This Row],[PEDIDO]],'[1]BASE DE VIM''s-NF''s'!I:I,'[1]BASE DE VIM''s-NF''s'!R:R,"")</f>
        <v>2,402.89</v>
      </c>
      <c r="M198" s="14" t="s">
        <v>236</v>
      </c>
    </row>
    <row r="199" spans="1:13" x14ac:dyDescent="0.3">
      <c r="A199" s="24">
        <v>46148</v>
      </c>
      <c r="B199" s="25" t="s">
        <v>228</v>
      </c>
      <c r="C199" s="11" t="s">
        <v>13</v>
      </c>
      <c r="D199" s="17" t="s">
        <v>207</v>
      </c>
      <c r="E199" s="12" t="s">
        <v>109</v>
      </c>
      <c r="F199" s="13">
        <v>1078809190</v>
      </c>
      <c r="G199" s="14"/>
      <c r="H199" s="15"/>
      <c r="I199" s="16"/>
      <c r="J199" s="15"/>
      <c r="K199" s="15" t="s">
        <v>281</v>
      </c>
      <c r="L199" s="15" t="s">
        <v>260</v>
      </c>
      <c r="M199" s="14" t="s">
        <v>236</v>
      </c>
    </row>
    <row r="200" spans="1:13" x14ac:dyDescent="0.3">
      <c r="A200" s="24">
        <v>46153</v>
      </c>
      <c r="B200" s="25" t="s">
        <v>228</v>
      </c>
      <c r="C200" s="11" t="s">
        <v>10</v>
      </c>
      <c r="D200" s="17" t="s">
        <v>208</v>
      </c>
      <c r="E200" s="12" t="s">
        <v>109</v>
      </c>
      <c r="F200" s="13">
        <v>1078829776</v>
      </c>
      <c r="G200" s="14">
        <v>4501736105</v>
      </c>
      <c r="H200" s="15"/>
      <c r="I200" s="16"/>
      <c r="J200" s="15"/>
      <c r="K200" s="15" t="s">
        <v>259</v>
      </c>
      <c r="L200" s="15" t="s">
        <v>260</v>
      </c>
      <c r="M200" s="14" t="s">
        <v>236</v>
      </c>
    </row>
    <row r="201" spans="1:13" ht="27.6" x14ac:dyDescent="0.3">
      <c r="A201" s="24">
        <v>46154</v>
      </c>
      <c r="B201" s="25" t="s">
        <v>228</v>
      </c>
      <c r="C201" s="11" t="s">
        <v>10</v>
      </c>
      <c r="D201" s="17" t="s">
        <v>209</v>
      </c>
      <c r="E201" s="12" t="s">
        <v>109</v>
      </c>
      <c r="F201" s="13">
        <v>1078834176</v>
      </c>
      <c r="G201" s="14">
        <v>4501736274</v>
      </c>
      <c r="H201" s="15"/>
      <c r="I201" s="16"/>
      <c r="J201" s="15"/>
      <c r="K201" s="15" t="s">
        <v>259</v>
      </c>
      <c r="L201" s="29">
        <v>1990</v>
      </c>
      <c r="M201" s="14" t="s">
        <v>236</v>
      </c>
    </row>
    <row r="202" spans="1:13" x14ac:dyDescent="0.3">
      <c r="A202" s="24">
        <v>46154</v>
      </c>
      <c r="B202" s="25" t="s">
        <v>228</v>
      </c>
      <c r="C202" s="11" t="s">
        <v>10</v>
      </c>
      <c r="D202" s="17" t="s">
        <v>210</v>
      </c>
      <c r="E202" s="12" t="s">
        <v>109</v>
      </c>
      <c r="F202" s="13">
        <v>1078850172</v>
      </c>
      <c r="G202" s="14">
        <v>4501736417</v>
      </c>
      <c r="H202" s="15">
        <f>IF(Table1[[#This Row],[PEDIDO]]&lt;&gt;"",_xlfn.XLOOKUP(Table1[[#This Row],[PEDIDO]],'[1]BASE DE VIM''s-NF''s'!I:I,'[1]BASE DE VIM''s-NF''s'!F:F,"-"),"-")</f>
        <v>2997755</v>
      </c>
      <c r="I202" s="16" t="s">
        <v>272</v>
      </c>
      <c r="J202" s="15" t="str">
        <f>_xlfn.XLOOKUP(Table1[[#This Row],[VIM]],'[1]BASE DE VIM''s-NF''s'!F:F,'[1]BASE DE VIM''s-NF''s'!L:L,"")</f>
        <v>000081090-1</v>
      </c>
      <c r="K202" s="15" t="str">
        <f>_xlfn.XLOOKUP(Table1[[#This Row],[VIM]],'[1]BASE DE VIM''s-NF''s'!F:F,'[1]BASE DE VIM''s-NF''s'!G:G,"")</f>
        <v>ENERGYARC INDUSTRIAL LTDA.</v>
      </c>
      <c r="L202" s="15" t="str">
        <f>_xlfn.XLOOKUP(Table1[[#This Row],[PEDIDO]],'[1]BASE DE VIM''s-NF''s'!I:I,'[1]BASE DE VIM''s-NF''s'!R:R,"")</f>
        <v>4,930.00</v>
      </c>
      <c r="M202" s="14" t="s">
        <v>236</v>
      </c>
    </row>
    <row r="203" spans="1:13" ht="27.6" x14ac:dyDescent="0.3">
      <c r="A203" s="24">
        <v>46155</v>
      </c>
      <c r="B203" s="25" t="s">
        <v>228</v>
      </c>
      <c r="C203" s="11" t="s">
        <v>10</v>
      </c>
      <c r="D203" s="17" t="s">
        <v>211</v>
      </c>
      <c r="E203" s="12" t="s">
        <v>109</v>
      </c>
      <c r="F203" s="13">
        <v>1078851352</v>
      </c>
      <c r="G203" s="14">
        <v>4501736424</v>
      </c>
      <c r="H203" s="15"/>
      <c r="I203" s="16"/>
      <c r="J203" s="15"/>
      <c r="K203" s="15" t="s">
        <v>258</v>
      </c>
      <c r="L203" s="15" t="s">
        <v>257</v>
      </c>
      <c r="M203" s="14" t="s">
        <v>236</v>
      </c>
    </row>
    <row r="204" spans="1:13" x14ac:dyDescent="0.3">
      <c r="A204" s="24">
        <v>46155</v>
      </c>
      <c r="B204" s="25" t="s">
        <v>228</v>
      </c>
      <c r="C204" s="11" t="s">
        <v>10</v>
      </c>
      <c r="D204" s="17" t="s">
        <v>212</v>
      </c>
      <c r="E204" s="12" t="s">
        <v>109</v>
      </c>
      <c r="F204" s="13">
        <v>1078851353</v>
      </c>
      <c r="G204" s="14">
        <v>4501736440</v>
      </c>
      <c r="H204" s="15"/>
      <c r="I204" s="16"/>
      <c r="J204" s="15"/>
      <c r="K204" s="15" t="s">
        <v>255</v>
      </c>
      <c r="L204" s="15" t="s">
        <v>256</v>
      </c>
      <c r="M204" s="14" t="s">
        <v>236</v>
      </c>
    </row>
    <row r="205" spans="1:13" x14ac:dyDescent="0.3">
      <c r="A205" s="24">
        <v>46155</v>
      </c>
      <c r="B205" s="25" t="s">
        <v>228</v>
      </c>
      <c r="C205" s="11" t="s">
        <v>10</v>
      </c>
      <c r="D205" s="17" t="s">
        <v>213</v>
      </c>
      <c r="E205" s="12" t="s">
        <v>109</v>
      </c>
      <c r="F205" s="13">
        <v>1078851354</v>
      </c>
      <c r="G205" s="14">
        <v>4501736484</v>
      </c>
      <c r="H205" s="15"/>
      <c r="I205" s="16"/>
      <c r="J205" s="15"/>
      <c r="K205" s="15" t="s">
        <v>249</v>
      </c>
      <c r="L205" s="15" t="s">
        <v>254</v>
      </c>
      <c r="M205" s="14" t="s">
        <v>236</v>
      </c>
    </row>
    <row r="206" spans="1:13" x14ac:dyDescent="0.3">
      <c r="A206" s="24">
        <v>46160</v>
      </c>
      <c r="B206" s="25" t="s">
        <v>228</v>
      </c>
      <c r="C206" s="11" t="s">
        <v>10</v>
      </c>
      <c r="D206" s="17" t="s">
        <v>214</v>
      </c>
      <c r="E206" s="12" t="s">
        <v>109</v>
      </c>
      <c r="F206" s="13">
        <v>1078899950</v>
      </c>
      <c r="G206" s="14">
        <v>4501739476</v>
      </c>
      <c r="H206" s="15"/>
      <c r="I206" s="16"/>
      <c r="J206" s="15"/>
      <c r="K206" s="15" t="s">
        <v>244</v>
      </c>
      <c r="L206" s="15" t="s">
        <v>253</v>
      </c>
      <c r="M206" s="14" t="s">
        <v>236</v>
      </c>
    </row>
    <row r="207" spans="1:13" ht="27.6" x14ac:dyDescent="0.3">
      <c r="A207" s="26">
        <v>46160</v>
      </c>
      <c r="B207" s="27" t="s">
        <v>228</v>
      </c>
      <c r="C207" s="11" t="s">
        <v>10</v>
      </c>
      <c r="D207" s="17" t="s">
        <v>215</v>
      </c>
      <c r="E207" s="12" t="s">
        <v>109</v>
      </c>
      <c r="F207" s="19">
        <v>1078899951</v>
      </c>
      <c r="G207" s="14">
        <v>4501739482</v>
      </c>
      <c r="H207" s="15"/>
      <c r="I207" s="16"/>
      <c r="J207" s="15"/>
      <c r="K207" s="15" t="s">
        <v>251</v>
      </c>
      <c r="L207" s="15" t="s">
        <v>252</v>
      </c>
      <c r="M207" s="14" t="s">
        <v>236</v>
      </c>
    </row>
    <row r="208" spans="1:13" x14ac:dyDescent="0.3">
      <c r="A208" s="26">
        <v>46161</v>
      </c>
      <c r="B208" s="27" t="s">
        <v>227</v>
      </c>
      <c r="C208" s="11" t="s">
        <v>10</v>
      </c>
      <c r="D208" s="17" t="s">
        <v>216</v>
      </c>
      <c r="E208" s="12" t="s">
        <v>109</v>
      </c>
      <c r="F208" s="19">
        <v>1078922878</v>
      </c>
      <c r="G208" s="14">
        <v>4501739986</v>
      </c>
      <c r="H208" s="15"/>
      <c r="I208" s="16"/>
      <c r="J208" s="15"/>
      <c r="K208" s="15" t="s">
        <v>250</v>
      </c>
      <c r="L208" s="29">
        <v>1622.82</v>
      </c>
      <c r="M208" s="14" t="s">
        <v>236</v>
      </c>
    </row>
    <row r="209" spans="1:13" x14ac:dyDescent="0.3">
      <c r="A209" s="26">
        <v>46161</v>
      </c>
      <c r="B209" s="27" t="s">
        <v>228</v>
      </c>
      <c r="C209" s="11" t="s">
        <v>10</v>
      </c>
      <c r="D209" s="17" t="s">
        <v>217</v>
      </c>
      <c r="E209" s="12" t="s">
        <v>109</v>
      </c>
      <c r="F209" s="19">
        <v>1078923021</v>
      </c>
      <c r="G209" s="14"/>
      <c r="H209" s="15"/>
      <c r="I209" s="16"/>
      <c r="J209" s="15"/>
      <c r="K209" s="15" t="s">
        <v>249</v>
      </c>
      <c r="L209" s="15" t="s">
        <v>248</v>
      </c>
      <c r="M209" s="14" t="s">
        <v>236</v>
      </c>
    </row>
    <row r="210" spans="1:13" x14ac:dyDescent="0.3">
      <c r="A210" s="26">
        <v>46162</v>
      </c>
      <c r="B210" s="27" t="s">
        <v>228</v>
      </c>
      <c r="C210" s="11" t="s">
        <v>25</v>
      </c>
      <c r="D210" s="17" t="s">
        <v>218</v>
      </c>
      <c r="E210" s="12" t="s">
        <v>109</v>
      </c>
      <c r="F210" s="19">
        <v>1078939662</v>
      </c>
      <c r="G210" s="14">
        <v>4501740336</v>
      </c>
      <c r="H210" s="15"/>
      <c r="I210" s="16"/>
      <c r="J210" s="15"/>
      <c r="K210" s="15" t="s">
        <v>247</v>
      </c>
      <c r="L210" s="15" t="s">
        <v>280</v>
      </c>
      <c r="M210" s="14" t="s">
        <v>236</v>
      </c>
    </row>
    <row r="211" spans="1:13" x14ac:dyDescent="0.3">
      <c r="A211" s="26">
        <v>46164</v>
      </c>
      <c r="B211" s="27" t="s">
        <v>228</v>
      </c>
      <c r="C211" s="11" t="s">
        <v>25</v>
      </c>
      <c r="D211" s="17" t="s">
        <v>219</v>
      </c>
      <c r="E211" s="12" t="s">
        <v>109</v>
      </c>
      <c r="F211" s="19">
        <v>1078939727</v>
      </c>
      <c r="G211" s="14"/>
      <c r="H211" s="15"/>
      <c r="I211" s="16"/>
      <c r="J211" s="15"/>
      <c r="K211" s="15" t="s">
        <v>246</v>
      </c>
      <c r="L211" s="15" t="s">
        <v>285</v>
      </c>
      <c r="M211" s="14" t="s">
        <v>236</v>
      </c>
    </row>
    <row r="212" spans="1:13" x14ac:dyDescent="0.3">
      <c r="A212" s="26">
        <v>46164</v>
      </c>
      <c r="B212" s="27" t="s">
        <v>228</v>
      </c>
      <c r="C212" s="11" t="s">
        <v>10</v>
      </c>
      <c r="D212" s="17" t="s">
        <v>220</v>
      </c>
      <c r="E212" s="20" t="s">
        <v>11</v>
      </c>
      <c r="F212" s="19">
        <v>1078966324</v>
      </c>
      <c r="G212" s="14">
        <v>4501743561</v>
      </c>
      <c r="H212" s="15"/>
      <c r="I212" s="16"/>
      <c r="J212" s="15"/>
      <c r="K212" s="15" t="s">
        <v>244</v>
      </c>
      <c r="L212" s="15" t="s">
        <v>245</v>
      </c>
      <c r="M212" s="14" t="s">
        <v>236</v>
      </c>
    </row>
    <row r="213" spans="1:13" x14ac:dyDescent="0.3">
      <c r="A213" s="26">
        <v>46168</v>
      </c>
      <c r="B213" s="27" t="s">
        <v>228</v>
      </c>
      <c r="C213" s="11" t="s">
        <v>10</v>
      </c>
      <c r="D213" s="17" t="s">
        <v>221</v>
      </c>
      <c r="E213" s="20" t="s">
        <v>109</v>
      </c>
      <c r="F213" s="19">
        <v>1078966325</v>
      </c>
      <c r="G213" s="14">
        <v>4501743532</v>
      </c>
      <c r="H213" s="15"/>
      <c r="I213" s="16"/>
      <c r="J213" s="15"/>
      <c r="K213" s="15" t="s">
        <v>244</v>
      </c>
      <c r="L213" s="15" t="s">
        <v>243</v>
      </c>
      <c r="M213" s="14" t="s">
        <v>236</v>
      </c>
    </row>
    <row r="214" spans="1:13" x14ac:dyDescent="0.3">
      <c r="A214" s="26">
        <v>46168</v>
      </c>
      <c r="B214" s="27" t="s">
        <v>228</v>
      </c>
      <c r="C214" s="11" t="s">
        <v>10</v>
      </c>
      <c r="D214" s="17" t="s">
        <v>222</v>
      </c>
      <c r="E214" s="20" t="s">
        <v>11</v>
      </c>
      <c r="F214" s="19">
        <v>1078978713</v>
      </c>
      <c r="G214" s="14">
        <v>4501747547</v>
      </c>
      <c r="H214" s="15"/>
      <c r="I214" s="16"/>
      <c r="J214" s="15"/>
      <c r="K214" s="15" t="s">
        <v>283</v>
      </c>
      <c r="L214" s="15" t="s">
        <v>242</v>
      </c>
      <c r="M214" s="14" t="s">
        <v>236</v>
      </c>
    </row>
    <row r="215" spans="1:13" x14ac:dyDescent="0.3">
      <c r="A215" s="26">
        <v>46168</v>
      </c>
      <c r="B215" s="27" t="s">
        <v>227</v>
      </c>
      <c r="C215" s="11" t="s">
        <v>10</v>
      </c>
      <c r="D215" s="17" t="s">
        <v>223</v>
      </c>
      <c r="E215" s="20" t="s">
        <v>109</v>
      </c>
      <c r="F215" s="19">
        <v>1078985294</v>
      </c>
      <c r="G215" s="14">
        <v>4501745495</v>
      </c>
      <c r="H215" s="15"/>
      <c r="I215" s="16"/>
      <c r="J215" s="15"/>
      <c r="K215" s="15" t="s">
        <v>238</v>
      </c>
      <c r="L215" s="15" t="s">
        <v>241</v>
      </c>
      <c r="M215" s="14" t="s">
        <v>236</v>
      </c>
    </row>
    <row r="216" spans="1:13" x14ac:dyDescent="0.3">
      <c r="A216" s="38">
        <v>46174</v>
      </c>
      <c r="B216" s="39" t="s">
        <v>228</v>
      </c>
      <c r="C216" s="11" t="s">
        <v>10</v>
      </c>
      <c r="D216" s="40" t="s">
        <v>286</v>
      </c>
      <c r="E216" s="41" t="s">
        <v>109</v>
      </c>
      <c r="F216" s="42">
        <v>1079039866</v>
      </c>
      <c r="G216" s="34">
        <v>4501746806</v>
      </c>
      <c r="H216" s="35" t="str">
        <f>IF(Table1[[#This Row],[PEDIDO]]&lt;&gt;"",_xlfn.XLOOKUP(Table1[[#This Row],[PEDIDO]],'[1]BASE DE VIM''s-NF''s'!I:I,'[1]BASE DE VIM''s-NF''s'!F:F,"-"),"-")</f>
        <v>-</v>
      </c>
      <c r="I216" s="36" t="str">
        <f>_xlfn.XLOOKUP(Table1[[#This Row],[VIM]],'[1]BASE DE VIM''s-NF''s'!F:F,'[1]BASE DE VIM''s-NF''s'!A:A,"")</f>
        <v/>
      </c>
      <c r="J216" s="37" t="str">
        <f>_xlfn.XLOOKUP(Table1[[#This Row],[VIM]],'[1]BASE DE VIM''s-NF''s'!F:F,'[1]BASE DE VIM''s-NF''s'!L:L,"")</f>
        <v/>
      </c>
      <c r="K216" s="35" t="s">
        <v>255</v>
      </c>
      <c r="L216" s="35" t="s">
        <v>296</v>
      </c>
      <c r="M216" s="14" t="s">
        <v>236</v>
      </c>
    </row>
    <row r="217" spans="1:13" x14ac:dyDescent="0.3">
      <c r="A217" s="31">
        <v>46174</v>
      </c>
      <c r="B217" s="32" t="s">
        <v>228</v>
      </c>
      <c r="C217" s="11" t="s">
        <v>10</v>
      </c>
      <c r="D217" s="40" t="s">
        <v>287</v>
      </c>
      <c r="E217" s="33" t="s">
        <v>11</v>
      </c>
      <c r="F217" s="19">
        <v>1079039867</v>
      </c>
      <c r="G217" s="34"/>
      <c r="H217" s="35" t="str">
        <f>IF(Table1[[#This Row],[PEDIDO]]&lt;&gt;"",_xlfn.XLOOKUP(Table1[[#This Row],[PEDIDO]],'[1]BASE DE VIM''s-NF''s'!I:I,'[1]BASE DE VIM''s-NF''s'!F:F,"-"),"-")</f>
        <v>-</v>
      </c>
      <c r="I217" s="36" t="str">
        <f>_xlfn.XLOOKUP(Table1[[#This Row],[VIM]],'[1]BASE DE VIM''s-NF''s'!F:F,'[1]BASE DE VIM''s-NF''s'!A:A,"")</f>
        <v/>
      </c>
      <c r="J217" s="37" t="str">
        <f>_xlfn.XLOOKUP(Table1[[#This Row],[VIM]],'[1]BASE DE VIM''s-NF''s'!F:F,'[1]BASE DE VIM''s-NF''s'!L:L,"")</f>
        <v/>
      </c>
      <c r="K217" s="35" t="s">
        <v>244</v>
      </c>
      <c r="L217" s="35" t="s">
        <v>295</v>
      </c>
      <c r="M217" s="14" t="s">
        <v>236</v>
      </c>
    </row>
    <row r="218" spans="1:13" x14ac:dyDescent="0.3">
      <c r="A218" s="31">
        <v>46175</v>
      </c>
      <c r="B218" s="32" t="s">
        <v>228</v>
      </c>
      <c r="C218" s="11" t="s">
        <v>10</v>
      </c>
      <c r="D218" s="40" t="s">
        <v>288</v>
      </c>
      <c r="E218" s="33"/>
      <c r="F218" s="19">
        <v>1079040130</v>
      </c>
      <c r="G218" s="34"/>
      <c r="H218" s="35" t="str">
        <f>IF(Table1[[#This Row],[PEDIDO]]&lt;&gt;"",_xlfn.XLOOKUP(Table1[[#This Row],[PEDIDO]],'[1]BASE DE VIM''s-NF''s'!I:I,'[1]BASE DE VIM''s-NF''s'!F:F,"-"),"-")</f>
        <v>-</v>
      </c>
      <c r="I218" s="36" t="str">
        <f>_xlfn.XLOOKUP(Table1[[#This Row],[VIM]],'[1]BASE DE VIM''s-NF''s'!F:F,'[1]BASE DE VIM''s-NF''s'!A:A,"")</f>
        <v/>
      </c>
      <c r="J218" s="37" t="str">
        <f>_xlfn.XLOOKUP(Table1[[#This Row],[VIM]],'[1]BASE DE VIM''s-NF''s'!F:F,'[1]BASE DE VIM''s-NF''s'!L:L,"")</f>
        <v/>
      </c>
      <c r="K218" s="35" t="s">
        <v>259</v>
      </c>
      <c r="L218" s="35" t="s">
        <v>294</v>
      </c>
      <c r="M218" s="14" t="s">
        <v>236</v>
      </c>
    </row>
    <row r="219" spans="1:13" x14ac:dyDescent="0.3">
      <c r="A219" s="31">
        <v>46182</v>
      </c>
      <c r="B219" s="32" t="s">
        <v>228</v>
      </c>
      <c r="C219" s="11" t="s">
        <v>25</v>
      </c>
      <c r="D219" s="40" t="s">
        <v>289</v>
      </c>
      <c r="E219" s="33" t="s">
        <v>109</v>
      </c>
      <c r="F219" s="19">
        <v>1079140236</v>
      </c>
      <c r="G219" s="34"/>
      <c r="H219" s="35" t="str">
        <f>IF(Table1[[#This Row],[PEDIDO]]&lt;&gt;"",_xlfn.XLOOKUP(Table1[[#This Row],[PEDIDO]],'[1]BASE DE VIM''s-NF''s'!I:I,'[1]BASE DE VIM''s-NF''s'!F:F,"-"),"-")</f>
        <v>-</v>
      </c>
      <c r="I219" s="36" t="str">
        <f>_xlfn.XLOOKUP(Table1[[#This Row],[VIM]],'[1]BASE DE VIM''s-NF''s'!F:F,'[1]BASE DE VIM''s-NF''s'!A:A,"")</f>
        <v/>
      </c>
      <c r="J219" s="37" t="str">
        <f>_xlfn.XLOOKUP(Table1[[#This Row],[VIM]],'[1]BASE DE VIM''s-NF''s'!F:F,'[1]BASE DE VIM''s-NF''s'!L:L,"")</f>
        <v/>
      </c>
      <c r="K219" s="35" t="s">
        <v>291</v>
      </c>
      <c r="L219" s="35" t="s">
        <v>293</v>
      </c>
      <c r="M219" s="14" t="s">
        <v>236</v>
      </c>
    </row>
    <row r="220" spans="1:13" x14ac:dyDescent="0.3">
      <c r="A220" s="38">
        <v>46182</v>
      </c>
      <c r="B220" s="39" t="s">
        <v>228</v>
      </c>
      <c r="C220" s="11" t="s">
        <v>25</v>
      </c>
      <c r="D220" s="40" t="s">
        <v>290</v>
      </c>
      <c r="E220" s="41" t="s">
        <v>109</v>
      </c>
      <c r="F220" s="19">
        <v>1079174969</v>
      </c>
      <c r="G220" s="14">
        <v>4501749108</v>
      </c>
      <c r="H220" s="35" t="str">
        <f>IF(Table1[[#This Row],[PEDIDO]]&lt;&gt;"",_xlfn.XLOOKUP(Table1[[#This Row],[PEDIDO]],'[1]BASE DE VIM''s-NF''s'!I:I,'[1]BASE DE VIM''s-NF''s'!F:F,"-"),"-")</f>
        <v>-</v>
      </c>
      <c r="I220" s="36" t="str">
        <f>_xlfn.XLOOKUP(Table1[[#This Row],[VIM]],'[1]BASE DE VIM''s-NF''s'!F:F,'[1]BASE DE VIM''s-NF''s'!A:A,"")</f>
        <v/>
      </c>
      <c r="J220" s="37" t="str">
        <f>_xlfn.XLOOKUP(Table1[[#This Row],[VIM]],'[1]BASE DE VIM''s-NF''s'!F:F,'[1]BASE DE VIM''s-NF''s'!L:L,"")</f>
        <v/>
      </c>
      <c r="K220" s="35" t="s">
        <v>233</v>
      </c>
      <c r="L220" s="35" t="s">
        <v>292</v>
      </c>
      <c r="M220" s="14" t="s">
        <v>236</v>
      </c>
    </row>
  </sheetData>
  <mergeCells count="1">
    <mergeCell ref="A1:M1"/>
  </mergeCells>
  <conditionalFormatting sqref="A4:F216 A217:E220">
    <cfRule type="expression" dxfId="50" priority="53">
      <formula>$F4&lt;&gt;""</formula>
    </cfRule>
  </conditionalFormatting>
  <conditionalFormatting sqref="A206:F206">
    <cfRule type="expression" dxfId="49" priority="55">
      <formula>#REF!&lt;&gt;""</formula>
    </cfRule>
  </conditionalFormatting>
  <conditionalFormatting sqref="A207:F207">
    <cfRule type="expression" dxfId="48" priority="54">
      <formula>$G206&lt;&gt;""</formula>
    </cfRule>
  </conditionalFormatting>
  <conditionalFormatting sqref="A4:G205 E206:E211 A208:D208 F208:G208 G206">
    <cfRule type="expression" dxfId="47" priority="52">
      <formula>$G4&lt;&gt;""</formula>
    </cfRule>
  </conditionalFormatting>
  <conditionalFormatting sqref="A4:L202 A203:K204 A205:J205 H206:J206 F206:F207 A206:D208 E206:E211 H207:K207 F208:K208">
    <cfRule type="expression" dxfId="46" priority="51">
      <formula>$K4&lt;&gt;""</formula>
    </cfRule>
  </conditionalFormatting>
  <conditionalFormatting sqref="A189:L189">
    <cfRule type="expression" dxfId="45" priority="71">
      <formula>#REF!="cancelado"</formula>
    </cfRule>
    <cfRule type="expression" dxfId="44" priority="69">
      <formula>#REF!="quadro"</formula>
    </cfRule>
    <cfRule type="expression" dxfId="43" priority="70">
      <formula>#REF!="finalizado"</formula>
    </cfRule>
  </conditionalFormatting>
  <conditionalFormatting sqref="A190:L190">
    <cfRule type="expression" dxfId="42" priority="67">
      <formula>$M189="finalizado"</formula>
    </cfRule>
    <cfRule type="expression" dxfId="41" priority="68">
      <formula>$M189="cancelado"</formula>
    </cfRule>
    <cfRule type="expression" dxfId="40" priority="66">
      <formula>$M189="quadro"</formula>
    </cfRule>
  </conditionalFormatting>
  <conditionalFormatting sqref="A4:M188 M189:M194 A191:M201 A202:L202 A203:K204 A205:J205 H206:J206 F206:F207 A206:D208 E206:E211 H207:K207 F208:K208">
    <cfRule type="expression" dxfId="39" priority="48">
      <formula>$M4="quadro"</formula>
    </cfRule>
  </conditionalFormatting>
  <conditionalFormatting sqref="A4:M188 M189:M194 A191:M201 M201:M209 A202:L202 A203:K204 A205:J205 H206:J206 F206:F207 A206:D208 E206:E211 H207:K207 F208:K208">
    <cfRule type="expression" dxfId="38" priority="50">
      <formula>$M4="cancelado"</formula>
    </cfRule>
    <cfRule type="expression" dxfId="37" priority="49">
      <formula>$M4="finalizado"</formula>
    </cfRule>
  </conditionalFormatting>
  <conditionalFormatting sqref="G206">
    <cfRule type="expression" dxfId="36" priority="56">
      <formula>$K207&lt;&gt;""</formula>
    </cfRule>
    <cfRule type="expression" dxfId="35" priority="57">
      <formula>$M207="quadro"</formula>
    </cfRule>
    <cfRule type="expression" dxfId="34" priority="58">
      <formula>$M207="finalizado"</formula>
    </cfRule>
    <cfRule type="expression" dxfId="33" priority="59">
      <formula>$M207="cancelado"</formula>
    </cfRule>
  </conditionalFormatting>
  <conditionalFormatting sqref="H2:L2">
    <cfRule type="expression" dxfId="32" priority="47">
      <formula>$K2&lt;&gt;""</formula>
    </cfRule>
  </conditionalFormatting>
  <conditionalFormatting sqref="H2:M2">
    <cfRule type="expression" dxfId="31" priority="46">
      <formula>$M2="cancelado"</formula>
    </cfRule>
    <cfRule type="expression" dxfId="30" priority="45">
      <formula>$M2="finalizado"</formula>
    </cfRule>
    <cfRule type="expression" dxfId="29" priority="44">
      <formula>$M2="quadro"</formula>
    </cfRule>
  </conditionalFormatting>
  <conditionalFormatting sqref="I189:I190">
    <cfRule type="expression" dxfId="28" priority="3">
      <formula>$M189="quadro"</formula>
    </cfRule>
    <cfRule type="expression" dxfId="27" priority="4">
      <formula>$M189="finalizado"</formula>
    </cfRule>
    <cfRule type="expression" dxfId="26" priority="5">
      <formula>$M189="cancelado"</formula>
    </cfRule>
  </conditionalFormatting>
  <conditionalFormatting sqref="I209">
    <cfRule type="expression" dxfId="25" priority="21">
      <formula>$M209="quadro"</formula>
    </cfRule>
    <cfRule type="expression" dxfId="24" priority="22">
      <formula>$M209="finalizado"</formula>
    </cfRule>
    <cfRule type="expression" dxfId="23" priority="23">
      <formula>$M209="cancelado"</formula>
    </cfRule>
    <cfRule type="expression" dxfId="22" priority="24">
      <formula>$K209&lt;&gt;""</formula>
    </cfRule>
  </conditionalFormatting>
  <conditionalFormatting sqref="I211">
    <cfRule type="expression" dxfId="21" priority="14">
      <formula>$M211="finalizado"</formula>
    </cfRule>
    <cfRule type="expression" dxfId="20" priority="15">
      <formula>$M211="cancelado"</formula>
    </cfRule>
    <cfRule type="expression" dxfId="19" priority="16">
      <formula>$K211&lt;&gt;""</formula>
    </cfRule>
    <cfRule type="expression" dxfId="18" priority="13">
      <formula>$M211="quadro"</formula>
    </cfRule>
  </conditionalFormatting>
  <conditionalFormatting sqref="I213">
    <cfRule type="expression" dxfId="17" priority="28">
      <formula>$K213&lt;&gt;""</formula>
    </cfRule>
    <cfRule type="expression" dxfId="16" priority="27">
      <formula>$M213="cancelado"</formula>
    </cfRule>
    <cfRule type="expression" dxfId="15" priority="26">
      <formula>$M213="finalizado"</formula>
    </cfRule>
    <cfRule type="expression" dxfId="14" priority="25">
      <formula>$M213="quadro"</formula>
    </cfRule>
  </conditionalFormatting>
  <conditionalFormatting sqref="I215">
    <cfRule type="expression" dxfId="13" priority="8">
      <formula>$M215="cancelado"</formula>
    </cfRule>
    <cfRule type="expression" dxfId="12" priority="9">
      <formula>$K215&lt;&gt;""</formula>
    </cfRule>
    <cfRule type="expression" dxfId="11" priority="7">
      <formula>$M215="finalizado"</formula>
    </cfRule>
    <cfRule type="expression" dxfId="10" priority="6">
      <formula>$M215="quadro"</formula>
    </cfRule>
  </conditionalFormatting>
  <conditionalFormatting sqref="M201:M210 M216">
    <cfRule type="expression" dxfId="9" priority="29">
      <formula>$M201="quadro"</formula>
    </cfRule>
  </conditionalFormatting>
  <conditionalFormatting sqref="M210 M216">
    <cfRule type="expression" dxfId="8" priority="31">
      <formula>$M210="cancelado"</formula>
    </cfRule>
    <cfRule type="expression" dxfId="7" priority="30">
      <formula>$M210="finalizado"</formula>
    </cfRule>
  </conditionalFormatting>
  <conditionalFormatting sqref="M212:M215 M218:M220">
    <cfRule type="expression" dxfId="6" priority="34">
      <formula>$M212="cancelado"</formula>
    </cfRule>
    <cfRule type="expression" dxfId="5" priority="32">
      <formula>$M212="quadro"</formula>
    </cfRule>
    <cfRule type="expression" dxfId="4" priority="33">
      <formula>$M212="finalizado"</formula>
    </cfRule>
  </conditionalFormatting>
  <conditionalFormatting sqref="A217:D220">
    <cfRule type="expression" dxfId="2" priority="2">
      <formula>$F217&lt;&gt;""</formula>
    </cfRule>
  </conditionalFormatting>
  <conditionalFormatting sqref="F217:F220">
    <cfRule type="expression" dxfId="0" priority="1">
      <formula>$F217&lt;&gt;""</formula>
    </cfRule>
  </conditionalFormatting>
  <dataValidations count="1">
    <dataValidation type="list" allowBlank="1" showInputMessage="1" showErrorMessage="1" sqref="E4:E220" xr:uid="{662CF013-9546-42FB-8294-F5B66BB746FC}">
      <formula1>"Marco Stella, Rodrigo Zerneri, Adriana Silva"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Requisições FY26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Romao, Victor Gabriel Ferreira Ribeiro</dc:creator>
  <cp:lastModifiedBy>Romao, Victor Gabriel Ferreira Ribeiro</cp:lastModifiedBy>
  <dcterms:created xsi:type="dcterms:W3CDTF">2026-05-27T23:07:23Z</dcterms:created>
  <dcterms:modified xsi:type="dcterms:W3CDTF">2026-06-14T13:19:30Z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791f77-3d39-4d72-9277-ac879ec799ed_Enabled">
    <vt:lpwstr>true</vt:lpwstr>
  </property>
  <property fmtid="{D5CDD505-2E9C-101B-9397-08002B2CF9AE}" pid="3" name="MSIP_Label_36791f77-3d39-4d72-9277-ac879ec799ed_SetDate">
    <vt:lpwstr>2026-05-28T00:25:03Z</vt:lpwstr>
  </property>
  <property fmtid="{D5CDD505-2E9C-101B-9397-08002B2CF9AE}" pid="4" name="MSIP_Label_36791f77-3d39-4d72-9277-ac879ec799ed_Method">
    <vt:lpwstr>Standard</vt:lpwstr>
  </property>
  <property fmtid="{D5CDD505-2E9C-101B-9397-08002B2CF9AE}" pid="5" name="MSIP_Label_36791f77-3d39-4d72-9277-ac879ec799ed_Name">
    <vt:lpwstr>restricted-default</vt:lpwstr>
  </property>
  <property fmtid="{D5CDD505-2E9C-101B-9397-08002B2CF9AE}" pid="6" name="MSIP_Label_36791f77-3d39-4d72-9277-ac879ec799ed_SiteId">
    <vt:lpwstr>254ba93e-1f6f-48f3-90e6-e2766664b477</vt:lpwstr>
  </property>
  <property fmtid="{D5CDD505-2E9C-101B-9397-08002B2CF9AE}" pid="7" name="MSIP_Label_36791f77-3d39-4d72-9277-ac879ec799ed_ActionId">
    <vt:lpwstr>c29fd698-d2ef-434b-8a3b-4e3df45c77e6</vt:lpwstr>
  </property>
  <property fmtid="{D5CDD505-2E9C-101B-9397-08002B2CF9AE}" pid="8" name="MSIP_Label_36791f77-3d39-4d72-9277-ac879ec799ed_ContentBits">
    <vt:lpwstr>0</vt:lpwstr>
  </property>
  <property fmtid="{D5CDD505-2E9C-101B-9397-08002B2CF9AE}" pid="9" name="MSIP_Label_36791f77-3d39-4d72-9277-ac879ec799ed_Tag">
    <vt:lpwstr>10, 3, 0, 1</vt:lpwstr>
  </property>
</Properties>
</file>